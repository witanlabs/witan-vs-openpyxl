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t="n">
        <v>79</v>
      </c>
      <c r="B1" t="n">
        <v>58</v>
      </c>
      <c r="C1">
        <f>ROUND(((1-POWER(1-((0.02+(((((1-POWER(1-((0.02+(((((1-POWER(1-((0.02+(((26)/100))*0.96)),(((((MIN(($B$1),99))/100))+5.0)/(1-(((MIN(($B$1),99))/100))+5.0))))*100))/100))*0.96)),(((((MIN((A$1),99))/100))+5.0)/(1-(((MIN((A$1),99))/100))+5.0))))*100))/100))*0.96)),(((((MIN(($D2),99))/100))+5.0)/(1-(((MIN(($D2),99))/100))+5.0))))*100),0)</f>
        <v/>
      </c>
      <c r="D1">
        <f>ROUND(((1-POWER(1-((0.02+(((((1-POWER(1-((0.02+(((((1-POWER(1-((0.02+(((((1-POWER(1-((0.02+(((75)/100))*0.96)),(((((MIN((C1),99))/100))+5.0)/(1-(((MIN((C1),99))/100))+5.0))))*100))/100))*0.96)),(((((MIN((B1),99))/100))+5.0)/(1-(((MIN((B1),99))/100))+5.0))))*100))/100))*0.96)),(((((MIN(($A$1),99))/100))+5.0)/(1-(((MIN(($A$1),99))/100))+5.0))))*100))/100))*0.96)),(((((MIN((D$2),99))/100))+5.0)/(1-(((MIN((D$2),99))/100))+5.0))))*100),0)</f>
        <v/>
      </c>
      <c r="E1">
        <f>ROUND(((1-POWER(1-((0.02+(((((1-POWER(1-((0.02+(((((1-POWER(1-((0.02+(((((1-POWER(1-((0.02+(((46)/100))*0.96)),(((((MIN(($D1),99))/100))+5.0)/(1-(((MIN(($D1),99))/100))+5.0))))*100))/100))*0.96)),(((((MIN(($C$1),99))/100))+5.0)/(1-(((MIN(($C$1),99))/100))+5.0))))*100))/100))*0.96)),(((((MIN((B1),99))/100))+5.0)/(1-(((MIN((B1),99))/100))+5.0))))*100))/100))*0.96)),(((((MIN(($A$1),99))/100))+5.0)/(1-(((MIN(($A$1),99))/100))+5.0))))*100),0)</f>
        <v/>
      </c>
      <c r="F1">
        <f>ROUND(((1-POWER(1-((0.02+(((((1-POWER(1-((0.02+(((((1-POWER(1-((0.02+(((((1-POWER(1-((0.02+(((((1-POWER(1-((0.02+(((13)/100))*0.96)),(((((MIN(($E$1),99))/100))+5.0)/(1-(((MIN(($E$1),99))/100))+5.0))))*100))/100))*0.96)),(((((MIN(($D$1),99))/100))+5.0)/(1-(((MIN(($D$1),99))/100))+5.0))))*100))/100))*0.96)),(((((MIN(($C1),99))/100))+5.0)/(1-(((MIN(($C1),99))/100))+5.0))))*100))/100))*0.96)),(((((MIN(($B$1),99))/100))+5.0)/(1-(((MIN(($B$1),99))/100))+5.0))))*100))/100))*0.96)),(((((MIN(($A1),99))/100))+5.0)/(1-(((MIN(($A1),99))/100))+5.0))))*100),0)</f>
        <v/>
      </c>
      <c r="G1">
        <f>ROUND(((1-POWER(1-((0.02+(((((1-POWER(1-((0.02+(((((1-POWER(1-((0.02+(((((1-POWER(1-((0.02+(((((1-POWER(1-((0.02+(((((1-POWER(1-((0.02+(((84)/100))*0.96)),(((((MIN(($F1),99))/100))+5.0)/(1-(((MIN(($F1),99))/100))+5.0))))*100))/100))*0.96)),(((((MIN((E$1),99))/100))+5.0)/(1-(((MIN((E$1),99))/100))+5.0))))*100))/100))*0.96)),(((((MIN(($D1),99))/100))+5.0)/(1-(((MIN(($D1),99))/100))+5.0))))*100))/100))*0.96)),(((((MIN(($C$1),99))/100))+5.0)/(1-(((MIN(($C$1),99))/100))+5.0))))*100))/100))*0.96)),(((((MIN((B1),99))/100))+5.0)/(1-(((MIN((B1),99))/100))+5.0))))*100))/100))*0.96)),(((((MIN(($A1),99))/100))+5.0)/(1-(((MIN(($A1),99))/100))+5.0))))*100),0)</f>
        <v/>
      </c>
      <c r="H1">
        <f>ROUND(((1-POWER(1-((0.02+(((((1-POWER(1-((0.02+(((((1-POWER(1-((0.02+(((((1-POWER(1-((0.02+(((((1-POWER(1-((0.02+(((((1-POWER(1-((0.02+(((((1-POWER(1-((0.02+(((48)/100))*0.96)),(((((MIN((G1),99))/100))+5.0)/(1-(((MIN((G1),99))/100))+5.0))))*100))/100))*0.96)),(((((MIN((F$1),99))/100))+5.0)/(1-(((MIN((F$1),99))/100))+5.0))))*100))/100))*0.96)),(((((MIN((E$1),99))/100))+5.0)/(1-(((MIN((E$1),99))/100))+5.0))))*100))/100))*0.96)),(((((MIN(($D$1),99))/100))+5.0)/(1-(((MIN(($D$1),99))/100))+5.0))))*100))/100))*0.96)),(((((MIN((C$1),99))/100))+5.0)/(1-(((MIN((C$1),99))/100))+5.0))))*100))/100))*0.96)),(((((MIN((B1),99))/100))+5.0)/(1-(((MIN((B1),99))/100))+5.0))))*100))/100))*0.96)),(((((MIN((A1),99))/100))+5.0)/(1-(((MIN((A1),99))/100))+5.0))))*100),0)</f>
        <v/>
      </c>
      <c r="I1">
        <f>ROUND(((1-POWER(1-((0.02+(((((1-POWER(1-((0.02+(((((1-POWER(1-((0.02+(((((1-POWER(1-((0.02+(((((1-POWER(1-((0.02+(((((1-POWER(1-((0.02+(((((1-POWER(1-((0.02+(((((1-POWER(1-((0.02+(((20)/100))*0.96)),(((((MIN(($H1),99))/100))+5.0)/(1-(((MIN(($H1),99))/100))+5.0))))*100))/100))*0.96)),(((((MIN((G1),99))/100))+5.0)/(1-(((MIN((G1),99))/100))+5.0))))*100))/100))*0.96)),(((((MIN(($F$1),99))/100))+5.0)/(1-(((MIN(($F$1),99))/100))+5.0))))*100))/100))*0.96)),(((((MIN((E$1),99))/100))+5.0)/(1-(((MIN((E$1),99))/100))+5.0))))*100))/100))*0.96)),(((((MIN((D$1),99))/100))+5.0)/(1-(((MIN((D$1),99))/100))+5.0))))*100))/100))*0.96)),(((((MIN((C$1),99))/100))+5.0)/(1-(((MIN((C$1),99))/100))+5.0))))*100))/100))*0.96)),(((((MIN(($B1),99))/100))+5.0)/(1-(((MIN(($B1),99))/100))+5.0))))*100))/100))*0.96)),(((((MIN((A1),99))/100))+5.0)/(1-(((MIN((A1),99))/100))+5.0))))*100),0)</f>
        <v/>
      </c>
      <c r="J1">
        <f>ROUND(((1-POWER(1-((0.02+(((((1-POWER(1-((0.02+(((((1-POWER(1-((0.02+(((((1-POWER(1-((0.02+(((((1-POWER(1-((0.02+(((((1-POWER(1-((0.02+(((((1-POWER(1-((0.02+(((((1-POWER(1-((0.02+(((26)/100))*0.96)),(((((MIN((I1),99))/100))+5.0)/(1-(((MIN((I1),99))/100))+5.0))))*100))/100))*0.96)),(((((MIN((H1),99))/100))+5.0)/(1-(((MIN((H1),99))/100))+5.0))))*100))/100))*0.96)),(((((MIN((G1),99))/100))+5.0)/(1-(((MIN((G1),99))/100))+5.0))))*100))/100))*0.96)),(((((MIN(($F$1),99))/100))+5.0)/(1-(((MIN(($F$1),99))/100))+5.0))))*100))/100))*0.96)),(((((MIN(($E1),99))/100))+5.0)/(1-(((MIN(($E1),99))/100))+5.0))))*100))/100))*0.96)),(((((MIN((D1),99))/100))+5.0)/(1-(((MIN((D1),99))/100))+5.0))))*100))/100))*0.96)),(((((MIN((C1),99))/100))+5.0)/(1-(((MIN((C1),99))/100))+5.0))))*100))/100))*0.96)),(((((MIN((B$1),99))/100))+5.0)/(1-(((MIN((B$1),99))/100))+5.0))))*100),0)</f>
        <v/>
      </c>
      <c r="K1">
        <f>ROUND(((1-POWER(1-((0.02+(((((1-POWER(1-((0.02+(((((1-POWER(1-((0.02+(((((1-POWER(1-((0.02+(((((1-POWER(1-((0.02+(((((1-POWER(1-((0.02+(((((1-POWER(1-((0.02+(((((1-POWER(1-((0.02+(((17)/100))*0.96)),(((((MIN(($J1),99))/100))+5.0)/(1-(((MIN(($J1),99))/100))+5.0))))*100))/100))*0.96)),(((((MIN(($I$1),99))/100))+5.0)/(1-(((MIN(($I$1),99))/100))+5.0))))*100))/100))*0.96)),(((((MIN((H1),99))/100))+5.0)/(1-(((MIN((H1),99))/100))+5.0))))*100))/100))*0.96)),(((((MIN((G1),99))/100))+5.0)/(1-(((MIN((G1),99))/100))+5.0))))*100))/100))*0.96)),(((((MIN((F$1),99))/100))+5.0)/(1-(((MIN((F$1),99))/100))+5.0))))*100))/100))*0.96)),(((((MIN(($E1),99))/100))+5.0)/(1-(((MIN(($E1),99))/100))+5.0))))*100))/100))*0.96)),(((((MIN(($D1),99))/100))+5.0)/(1-(((MIN(($D1),99))/100))+5.0))))*100))/100))*0.96)),(((((MIN(($C$1),99))/100))+5.0)/(1-(((MIN(($C$1),99))/100))+5.0))))*100),0)</f>
        <v/>
      </c>
      <c r="L1">
        <f>ROUND(((1-POWER(1-((0.02+(((((1-POWER(1-((0.02+(((((1-POWER(1-((0.02+(((((1-POWER(1-((0.02+(((((1-POWER(1-((0.02+(((((1-POWER(1-((0.02+(((((1-POWER(1-((0.02+(((((1-POWER(1-((0.02+(((93)/100))*0.96)),(((((MIN(($K$1),99))/100))+5.0)/(1-(((MIN(($K$1),99))/100))+5.0))))*100))/100))*0.96)),(((((MIN(($J$1),99))/100))+5.0)/(1-(((MIN(($J$1),99))/100))+5.0))))*100))/100))*0.96)),(((((MIN((I1),99))/100))+5.0)/(1-(((MIN((I1),99))/100))+5.0))))*100))/100))*0.96)),(((((MIN(($H1),99))/100))+5.0)/(1-(((MIN(($H1),99))/100))+5.0))))*100))/100))*0.96)),(((((MIN(($G$1),99))/100))+5.0)/(1-(((MIN(($G$1),99))/100))+5.0))))*100))/100))*0.96)),(((((MIN((F1),99))/100))+5.0)/(1-(((MIN((F1),99))/100))+5.0))))*100))/100))*0.96)),(((((MIN(($E1),99))/100))+5.0)/(1-(((MIN(($E1),99))/100))+5.0))))*100))/100))*0.96)),(((((MIN((D$1),99))/100))+5.0)/(1-(((MIN((D$1),99))/100))+5.0))))*100),0)</f>
        <v/>
      </c>
      <c r="M1">
        <f>ROUND(((1-POWER(1-((0.02+(((((1-POWER(1-((0.02+(((((1-POWER(1-((0.02+(((((1-POWER(1-((0.02+(((((1-POWER(1-((0.02+(((((1-POWER(1-((0.02+(((((1-POWER(1-((0.02+(((((1-POWER(1-((0.02+(((19)/100))*0.96)),(((((MIN((L$1),99))/100))+5.0)/(1-(((MIN((L$1),99))/100))+5.0))))*100))/100))*0.96)),(((((MIN((K$1),99))/100))+5.0)/(1-(((MIN((K$1),99))/100))+5.0))))*100))/100))*0.96)),(((((MIN((J$1),99))/100))+5.0)/(1-(((MIN((J$1),99))/100))+5.0))))*100))/100))*0.96)),(((((MIN((I$1),99))/100))+5.0)/(1-(((MIN((I$1),99))/100))+5.0))))*100))/100))*0.96)),(((((MIN((H$1),99))/100))+5.0)/(1-(((MIN((H$1),99))/100))+5.0))))*100))/100))*0.96)),(((((MIN((G$1),99))/100))+5.0)/(1-(((MIN((G$1),99))/100))+5.0))))*100))/100))*0.96)),(((((MIN((F$1),99))/100))+5.0)/(1-(((MIN((F$1),99))/100))+5.0))))*100))/100))*0.96)),(((((MIN((E$1),99))/100))+5.0)/(1-(((MIN((E$1),99))/100))+5.0))))*100),0)</f>
        <v/>
      </c>
      <c r="N1">
        <f>ROUND(((1-POWER(1-((0.02+(((((1-POWER(1-((0.02+(((((1-POWER(1-((0.02+(((((1-POWER(1-((0.02+(((((1-POWER(1-((0.02+(((((1-POWER(1-((0.02+(((((1-POWER(1-((0.02+(((((1-POWER(1-((0.02+(((58)/100))*0.96)),(((((MIN(($M1),99))/100))+5.0)/(1-(((MIN(($M1),99))/100))+5.0))))*100))/100))*0.96)),(((((MIN(($L$1),99))/100))+5.0)/(1-(((MIN(($L$1),99))/100))+5.0))))*100))/100))*0.96)),(((((MIN(($K$1),99))/100))+5.0)/(1-(((MIN(($K$1),99))/100))+5.0))))*100))/100))*0.96)),(((((MIN((J$1),99))/100))+5.0)/(1-(((MIN((J$1),99))/100))+5.0))))*100))/100))*0.96)),(((((MIN(($I1),99))/100))+5.0)/(1-(((MIN(($I1),99))/100))+5.0))))*100))/100))*0.96)),(((((MIN(($H$1),99))/100))+5.0)/(1-(((MIN(($H$1),99))/100))+5.0))))*100))/100))*0.96)),(((((MIN(($G1),99))/100))+5.0)/(1-(((MIN(($G1),99))/100))+5.0))))*100))/100))*0.96)),(((((MIN((F1),99))/100))+5.0)/(1-(((MIN((F1),99))/100))+5.0))))*100),0)</f>
        <v/>
      </c>
      <c r="O1">
        <f>ROUND(((1-POWER(1-((0.02+(((((1-POWER(1-((0.02+(((((1-POWER(1-((0.02+(((((1-POWER(1-((0.02+(((((1-POWER(1-((0.02+(((((1-POWER(1-((0.02+(((((1-POWER(1-((0.02+(((((1-POWER(1-((0.02+(((15)/100))*0.96)),(((((MIN((N$1),99))/100))+5.0)/(1-(((MIN((N$1),99))/100))+5.0))))*100))/100))*0.96)),(((((MIN(($M$1),99))/100))+5.0)/(1-(((MIN(($M$1),99))/100))+5.0))))*100))/100))*0.96)),(((((MIN((L1),99))/100))+5.0)/(1-(((MIN((L1),99))/100))+5.0))))*100))/100))*0.96)),(((((MIN((K$1),99))/100))+5.0)/(1-(((MIN((K$1),99))/100))+5.0))))*100))/100))*0.96)),(((((MIN(($J$1),99))/100))+5.0)/(1-(((MIN(($J$1),99))/100))+5.0))))*100))/100))*0.96)),(((((MIN(($I1),99))/100))+5.0)/(1-(((MIN(($I1),99))/100))+5.0))))*100))/100))*0.96)),(((((MIN(($H1),99))/100))+5.0)/(1-(((MIN(($H1),99))/100))+5.0))))*100))/100))*0.96)),(((((MIN(($G$1),99))/100))+5.0)/(1-(((MIN(($G$1),99))/100))+5.0))))*100),0)</f>
        <v/>
      </c>
      <c r="P1">
        <f>ROUND(((1-POWER(1-((0.02+(((((1-POWER(1-((0.02+(((((1-POWER(1-((0.02+(((((1-POWER(1-((0.02+(((((1-POWER(1-((0.02+(((((1-POWER(1-((0.02+(((((1-POWER(1-((0.02+(((((1-POWER(1-((0.02+(((64)/100))*0.96)),(((((MIN((O$1),99))/100))+5.0)/(1-(((MIN((O$1),99))/100))+5.0))))*100))/100))*0.96)),(((((MIN((N1),99))/100))+5.0)/(1-(((MIN((N1),99))/100))+5.0))))*100))/100))*0.96)),(((((MIN((M1),99))/100))+5.0)/(1-(((MIN((M1),99))/100))+5.0))))*100))/100))*0.96)),(((((MIN((L$1),99))/100))+5.0)/(1-(((MIN((L$1),99))/100))+5.0))))*100))/100))*0.96)),(((((MIN((K$1),99))/100))+5.0)/(1-(((MIN((K$1),99))/100))+5.0))))*100))/100))*0.96)),(((((MIN(($J$1),99))/100))+5.0)/(1-(((MIN(($J$1),99))/100))+5.0))))*100))/100))*0.96)),(((((MIN(($I1),99))/100))+5.0)/(1-(((MIN(($I1),99))/100))+5.0))))*100))/100))*0.96)),(((((MIN(($H1),99))/100))+5.0)/(1-(((MIN(($H1),99))/100))+5.0))))*100),0)</f>
        <v/>
      </c>
      <c r="Q1">
        <f>ROUND(((1-POWER(1-((0.02+(((((1-POWER(1-((0.02+(((((1-POWER(1-((0.02+(((((1-POWER(1-((0.02+(((((1-POWER(1-((0.02+(((((1-POWER(1-((0.02+(((((1-POWER(1-((0.02+(((((1-POWER(1-((0.02+(((22)/100))*0.96)),(((((MIN((P1),99))/100))+5.0)/(1-(((MIN((P1),99))/100))+5.0))))*100))/100))*0.96)),(((((MIN((O1),99))/100))+5.0)/(1-(((MIN((O1),99))/100))+5.0))))*100))/100))*0.96)),(((((MIN(($N1),99))/100))+5.0)/(1-(((MIN(($N1),99))/100))+5.0))))*100))/100))*0.96)),(((((MIN(($M$1),99))/100))+5.0)/(1-(((MIN(($M$1),99))/100))+5.0))))*100))/100))*0.96)),(((((MIN((L1),99))/100))+5.0)/(1-(((MIN((L1),99))/100))+5.0))))*100))/100))*0.96)),(((((MIN((K1),99))/100))+5.0)/(1-(((MIN((K1),99))/100))+5.0))))*100))/100))*0.96)),(((((MIN(($J1),99))/100))+5.0)/(1-(((MIN(($J1),99))/100))+5.0))))*100))/100))*0.96)),(((((MIN(($I$1),99))/100))+5.0)/(1-(((MIN(($I$1),99))/100))+5.0))))*100),0)</f>
        <v/>
      </c>
      <c r="R1">
        <f>ROUND(((1-POWER(1-((0.02+(((((1-POWER(1-((0.02+(((((1-POWER(1-((0.02+(((((1-POWER(1-((0.02+(((((1-POWER(1-((0.02+(((((1-POWER(1-((0.02+(((((1-POWER(1-((0.02+(((((1-POWER(1-((0.02+(((19)/100))*0.96)),(((((MIN((Q1),99))/100))+5.0)/(1-(((MIN((Q1),99))/100))+5.0))))*100))/100))*0.96)),(((((MIN((P1),99))/100))+5.0)/(1-(((MIN((P1),99))/100))+5.0))))*100))/100))*0.96)),(((((MIN(($O1),99))/100))+5.0)/(1-(((MIN(($O1),99))/100))+5.0))))*100))/100))*0.96)),(((((MIN(($N1),99))/100))+5.0)/(1-(((MIN(($N1),99))/100))+5.0))))*100))/100))*0.96)),(((((MIN(($M$1),99))/100))+5.0)/(1-(((MIN(($M$1),99))/100))+5.0))))*100))/100))*0.96)),(((((MIN(($L1),99))/100))+5.0)/(1-(((MIN(($L1),99))/100))+5.0))))*100))/100))*0.96)),(((((MIN(($K1),99))/100))+5.0)/(1-(((MIN(($K1),99))/100))+5.0))))*100))/100))*0.96)),(((((MIN((J$1),99))/100))+5.0)/(1-(((MIN((J$1),99))/100))+5.0))))*100),0)</f>
        <v/>
      </c>
      <c r="S1">
        <f>ROUND(((1-POWER(1-((0.02+(((((1-POWER(1-((0.02+(((((1-POWER(1-((0.02+(((((1-POWER(1-((0.02+(((((1-POWER(1-((0.02+(((((1-POWER(1-((0.02+(((((1-POWER(1-((0.02+(((((1-POWER(1-((0.02+(((89)/100))*0.96)),(((((MIN(($R$1),99))/100))+5.0)/(1-(((MIN(($R$1),99))/100))+5.0))))*100))/100))*0.96)),(((((MIN(($Q1),99))/100))+5.0)/(1-(((MIN(($Q1),99))/100))+5.0))))*100))/100))*0.96)),(((((MIN(($P$1),99))/100))+5.0)/(1-(((MIN(($P$1),99))/100))+5.0))))*100))/100))*0.96)),(((((MIN((O1),99))/100))+5.0)/(1-(((MIN((O1),99))/100))+5.0))))*100))/100))*0.96)),(((((MIN((N$1),99))/100))+5.0)/(1-(((MIN((N$1),99))/100))+5.0))))*100))/100))*0.96)),(((((MIN(($M1),99))/100))+5.0)/(1-(((MIN(($M1),99))/100))+5.0))))*100))/100))*0.96)),(((((MIN(($L$1),99))/100))+5.0)/(1-(((MIN(($L$1),99))/100))+5.0))))*100))/100))*0.96)),(((((MIN((K1),99))/100))+5.0)/(1-(((MIN((K1),99))/100))+5.0))))*100),0)</f>
        <v/>
      </c>
      <c r="T1">
        <f>ROUND(((1-POWER(1-((0.02+(((((1-POWER(1-((0.02+(((((1-POWER(1-((0.02+(((((1-POWER(1-((0.02+(((((1-POWER(1-((0.02+(((((1-POWER(1-((0.02+(((((1-POWER(1-((0.02+(((((1-POWER(1-((0.02+(((13)/100))*0.96)),(((((MIN(($S$1),99))/100))+5.0)/(1-(((MIN(($S$1),99))/100))+5.0))))*100))/100))*0.96)),(((((MIN((R1),99))/100))+5.0)/(1-(((MIN((R1),99))/100))+5.0))))*100))/100))*0.96)),(((((MIN(($Q$1),99))/100))+5.0)/(1-(((MIN(($Q$1),99))/100))+5.0))))*100))/100))*0.96)),(((((MIN(($P$1),99))/100))+5.0)/(1-(((MIN(($P$1),99))/100))+5.0))))*100))/100))*0.96)),(((((MIN(($O$1),99))/100))+5.0)/(1-(((MIN(($O$1),99))/100))+5.0))))*100))/100))*0.96)),(((((MIN((N1),99))/100))+5.0)/(1-(((MIN((N1),99))/100))+5.0))))*100))/100))*0.96)),(((((MIN((M$1),99))/100))+5.0)/(1-(((MIN((M$1),99))/100))+5.0))))*100))/100))*0.96)),(((((MIN(($L1),99))/100))+5.0)/(1-(((MIN(($L1),99))/100))+5.0))))*100),0)</f>
        <v/>
      </c>
    </row>
    <row r="2">
      <c r="A2">
        <f>ROUND(((1-POWER(1-((0.02+(((14)/100))*0.96)),(((((MIN(($A1),99))/100))+5.0)/(1-(((MIN(($A1),99))/100))+5.0))))*100),0)</f>
        <v/>
      </c>
      <c r="B2">
        <f>ROUND(((1-POWER(1-((0.02+(((((1-POWER(1-((0.02+(((80)/100))*0.96)),(((((MIN(($A$2),99))/100))+5.0)/(1-(((MIN(($A$2),99))/100))+5.0))))*100))/100))*0.96)),(((((MIN((B$1),99))/100))+5.0)/(1-(((MIN((B$1),99))/100))+5.0))))*100),0)</f>
        <v/>
      </c>
      <c r="C2">
        <f>ROUND(((1-POWER(1-((0.02+(((((1-POWER(1-((0.02+(((((1-POWER(1-((0.02+(((((1-POWER(1-((0.02+(((37)/100))*0.96)),(((((MIN((B$2),99))/100))+5.0)/(1-(((MIN((B$2),99))/100))+5.0))))*100))/100))*0.96)),(((((MIN((A2),99))/100))+5.0)/(1-(((MIN((A2),99))/100))+5.0))))*100))/100))*0.96)),(((((MIN(($C$1),99))/100))+5.0)/(1-(((MIN(($C$1),99))/100))+5.0))))*100))/100))*0.96)),(((((MIN(($D2),99))/100))+5.0)/(1-(((MIN(($D2),99))/100))+5.0))))*100),0)</f>
        <v/>
      </c>
      <c r="D2" t="n">
        <v>9</v>
      </c>
      <c r="E2">
        <f>ROUND(((1-POWER(1-((0.02+(((((1-POWER(1-((0.02+(((((1-POWER(1-((0.02+(((((1-POWER(1-((0.02+(((((1-POWER(1-((0.02+(((((1-POWER(1-((0.02+(((59)/100))*0.96)),(((((MIN((D2),99))/100))+5.0)/(1-(((MIN((D2),99))/100))+5.0))))*100))/100))*0.96)),(((((MIN((C2),99))/100))+5.0)/(1-(((MIN((C2),99))/100))+5.0))))*100))/100))*0.96)),(((((MIN((B2),99))/100))+5.0)/(1-(((MIN((B2),99))/100))+5.0))))*100))/100))*0.96)),(((((MIN(($A2),99))/100))+5.0)/(1-(((MIN(($A2),99))/100))+5.0))))*100))/100))*0.96)),(((((MIN((E$1),99))/100))+5.0)/(1-(((MIN((E$1),99))/100))+5.0))))*100))/100))*0.96)),(((((MIN((F$3),99))/100))+5.0)/(1-(((MIN((F$3),99))/100))+5.0))))*100),0)</f>
        <v/>
      </c>
      <c r="F2">
        <f>ROUND(((1-POWER(1-((0.02+(((((1-POWER(1-((0.02+(((((1-POWER(1-((0.02+(((((1-POWER(1-((0.02+(((((1-POWER(1-((0.02+(((((1-POWER(1-((0.02+(((((1-POWER(1-((0.02+(((37)/100))*0.96)),(((((MIN(($E2),99))/100))+5.0)/(1-(((MIN(($E2),99))/100))+5.0))))*100))/100))*0.96)),(((((MIN(($D$2),99))/100))+5.0)/(1-(((MIN(($D$2),99))/100))+5.0))))*100))/100))*0.96)),(((((MIN((C$2),99))/100))+5.0)/(1-(((MIN((C$2),99))/100))+5.0))))*100))/100))*0.96)),(((((MIN(($B2),99))/100))+5.0)/(1-(((MIN(($B2),99))/100))+5.0))))*100))/100))*0.96)),(((((MIN((A2),99))/100))+5.0)/(1-(((MIN((A2),99))/100))+5.0))))*100))/100))*0.96)),(((((MIN((F$1),99))/100))+5.0)/(1-(((MIN((F$1),99))/100))+5.0))))*100))/100))*0.96)),(((((MIN(($F3),99))/100))+5.0)/(1-(((MIN(($F3),99))/100))+5.0))))*100),0)</f>
        <v/>
      </c>
      <c r="G2">
        <f>ROUND(((1-POWER(1-((0.02+(((((1-POWER(1-((0.02+(((((1-POWER(1-((0.02+(((((1-POWER(1-((0.02+(((((1-POWER(1-((0.02+(((((1-POWER(1-((0.02+(((((1-POWER(1-((0.02+(((61)/100))*0.96)),(((((MIN((F$2),99))/100))+5.0)/(1-(((MIN((F$2),99))/100))+5.0))))*100))/100))*0.96)),(((((MIN((E$2),99))/100))+5.0)/(1-(((MIN((E$2),99))/100))+5.0))))*100))/100))*0.96)),(((((MIN(($D2),99))/100))+5.0)/(1-(((MIN(($D2),99))/100))+5.0))))*100))/100))*0.96)),(((((MIN(($C2),99))/100))+5.0)/(1-(((MIN(($C2),99))/100))+5.0))))*100))/100))*0.96)),(((((MIN(($B2),99))/100))+5.0)/(1-(((MIN(($B2),99))/100))+5.0))))*100))/100))*0.96)),(((((MIN(($A$2),99))/100))+5.0)/(1-(((MIN(($A$2),99))/100))+5.0))))*100))/100))*0.96)),(((((MIN((G1),99))/100))+5.0)/(1-(((MIN((G1),99))/100))+5.0))))*100),0)</f>
        <v/>
      </c>
      <c r="H2">
        <f>ROUND(((1-POWER(1-((0.02+(((((1-POWER(1-((0.02+(((((1-POWER(1-((0.02+(((((1-POWER(1-((0.02+(((((1-POWER(1-((0.02+(((((1-POWER(1-((0.02+(((((1-POWER(1-((0.02+(((((1-POWER(1-((0.02+(((94)/100))*0.96)),(((((MIN(($G$2),99))/100))+5.0)/(1-(((MIN(($G$2),99))/100))+5.0))))*100))/100))*0.96)),(((((MIN((F2),99))/100))+5.0)/(1-(((MIN((F2),99))/100))+5.0))))*100))/100))*0.96)),(((((MIN(($E2),99))/100))+5.0)/(1-(((MIN(($E2),99))/100))+5.0))))*100))/100))*0.96)),(((((MIN((D2),99))/100))+5.0)/(1-(((MIN((D2),99))/100))+5.0))))*100))/100))*0.96)),(((((MIN((C2),99))/100))+5.0)/(1-(((MIN((C2),99))/100))+5.0))))*100))/100))*0.96)),(((((MIN((B2),99))/100))+5.0)/(1-(((MIN((B2),99))/100))+5.0))))*100))/100))*0.96)),(((((MIN((A2),99))/100))+5.0)/(1-(((MIN((A2),99))/100))+5.0))))*100))/100))*0.96)),(((((MIN((H1),99))/100))+5.0)/(1-(((MIN((H1),99))/100))+5.0))))*100),0)</f>
        <v/>
      </c>
      <c r="I2">
        <f>ROUND(((1-POWER(1-((0.02+(((((1-POWER(1-((0.02+(((((1-POWER(1-((0.02+(((((1-POWER(1-((0.02+(((((1-POWER(1-((0.02+(((((1-POWER(1-((0.02+(((((1-POWER(1-((0.02+(((((1-POWER(1-((0.02+(((((1-POWER(1-((0.02+(((23)/100))*0.96)),(((((MIN((H$2),99))/100))+5.0)/(1-(((MIN((H$2),99))/100))+5.0))))*100))/100))*0.96)),(((((MIN(($G$2),99))/100))+5.0)/(1-(((MIN(($G$2),99))/100))+5.0))))*100))/100))*0.96)),(((((MIN(($F$2),99))/100))+5.0)/(1-(((MIN(($F$2),99))/100))+5.0))))*100))/100))*0.96)),(((((MIN(($E$2),99))/100))+5.0)/(1-(((MIN(($E$2),99))/100))+5.0))))*100))/100))*0.96)),(((((MIN((D2),99))/100))+5.0)/(1-(((MIN((D2),99))/100))+5.0))))*100))/100))*0.96)),(((((MIN(($C$2),99))/100))+5.0)/(1-(((MIN(($C$2),99))/100))+5.0))))*100))/100))*0.96)),(((((MIN((B2),99))/100))+5.0)/(1-(((MIN((B2),99))/100))+5.0))))*100))/100))*0.96)),(((((MIN((A2),99))/100))+5.0)/(1-(((MIN((A2),99))/100))+5.0))))*100))/100))*0.96)),(((((MIN((I1),99))/100))+5.0)/(1-(((MIN((I1),99))/100))+5.0))))*100),0)</f>
        <v/>
      </c>
      <c r="J2">
        <f>ROUND(((1-POWER(1-((0.02+(((((1-POWER(1-((0.02+(((((1-POWER(1-((0.02+(((((1-POWER(1-((0.02+(((((1-POWER(1-((0.02+(((((1-POWER(1-((0.02+(((((1-POWER(1-((0.02+(((((1-POWER(1-((0.02+(((((1-POWER(1-((0.02+(((66)/100))*0.96)),(((((MIN(($I2),99))/100))+5.0)/(1-(((MIN(($I2),99))/100))+5.0))))*100))/100))*0.96)),(((((MIN((H2),99))/100))+5.0)/(1-(((MIN((H2),99))/100))+5.0))))*100))/100))*0.96)),(((((MIN(($G2),99))/100))+5.0)/(1-(((MIN(($G2),99))/100))+5.0))))*100))/100))*0.96)),(((((MIN(($F$2),99))/100))+5.0)/(1-(((MIN(($F$2),99))/100))+5.0))))*100))/100))*0.96)),(((((MIN((E$2),99))/100))+5.0)/(1-(((MIN((E$2),99))/100))+5.0))))*100))/100))*0.96)),(((((MIN((D2),99))/100))+5.0)/(1-(((MIN((D2),99))/100))+5.0))))*100))/100))*0.96)),(((((MIN((C2),99))/100))+5.0)/(1-(((MIN((C2),99))/100))+5.0))))*100))/100))*0.96)),(((((MIN((B$2),99))/100))+5.0)/(1-(((MIN((B$2),99))/100))+5.0))))*100))/100))*0.96)),(((((MIN(($J1),99))/100))+5.0)/(1-(((MIN(($J1),99))/100))+5.0))))*100),0)</f>
        <v/>
      </c>
      <c r="K2">
        <f>ROUND(((1-POWER(1-((0.02+(((((1-POWER(1-((0.02+(((((1-POWER(1-((0.02+(((((1-POWER(1-((0.02+(((((1-POWER(1-((0.02+(((((1-POWER(1-((0.02+(((((1-POWER(1-((0.02+(((((1-POWER(1-((0.02+(((((1-POWER(1-((0.02+(((76)/100))*0.96)),(((((MIN((J2),99))/100))+5.0)/(1-(((MIN((J2),99))/100))+5.0))))*100))/100))*0.96)),(((((MIN((I$2),99))/100))+5.0)/(1-(((MIN((I$2),99))/100))+5.0))))*100))/100))*0.96)),(((((MIN((H$2),99))/100))+5.0)/(1-(((MIN((H$2),99))/100))+5.0))))*100))/100))*0.96)),(((((MIN(($G2),99))/100))+5.0)/(1-(((MIN(($G2),99))/100))+5.0))))*100))/100))*0.96)),(((((MIN((F$2),99))/100))+5.0)/(1-(((MIN((F$2),99))/100))+5.0))))*100))/100))*0.96)),(((((MIN((E$2),99))/100))+5.0)/(1-(((MIN((E$2),99))/100))+5.0))))*100))/100))*0.96)),(((((MIN(($D$2),99))/100))+5.0)/(1-(((MIN(($D$2),99))/100))+5.0))))*100))/100))*0.96)),(((((MIN((C$2),99))/100))+5.0)/(1-(((MIN((C$2),99))/100))+5.0))))*100))/100))*0.96)),(((((MIN(($K1),99))/100))+5.0)/(1-(((MIN(($K1),99))/100))+5.0))))*100),0)</f>
        <v/>
      </c>
      <c r="L2">
        <f>ROUND(((1-POWER(1-((0.02+(((((1-POWER(1-((0.02+(((((1-POWER(1-((0.02+(((((1-POWER(1-((0.02+(((((1-POWER(1-((0.02+(((((1-POWER(1-((0.02+(((((1-POWER(1-((0.02+(((((1-POWER(1-((0.02+(((((1-POWER(1-((0.02+(((68)/100))*0.96)),(((((MIN(($K2),99))/100))+5.0)/(1-(((MIN(($K2),99))/100))+5.0))))*100))/100))*0.96)),(((((MIN((J$2),99))/100))+5.0)/(1-(((MIN((J$2),99))/100))+5.0))))*100))/100))*0.96)),(((((MIN(($I$2),99))/100))+5.0)/(1-(((MIN(($I$2),99))/100))+5.0))))*100))/100))*0.96)),(((((MIN(($H2),99))/100))+5.0)/(1-(((MIN(($H2),99))/100))+5.0))))*100))/100))*0.96)),(((((MIN(($G2),99))/100))+5.0)/(1-(((MIN(($G2),99))/100))+5.0))))*100))/100))*0.96)),(((((MIN((F$2),99))/100))+5.0)/(1-(((MIN((F$2),99))/100))+5.0))))*100))/100))*0.96)),(((((MIN(($E$2),99))/100))+5.0)/(1-(((MIN(($E$2),99))/100))+5.0))))*100))/100))*0.96)),(((((MIN((D2),99))/100))+5.0)/(1-(((MIN((D2),99))/100))+5.0))))*100))/100))*0.96)),(((((MIN(($L1),99))/100))+5.0)/(1-(((MIN(($L1),99))/100))+5.0))))*100),0)</f>
        <v/>
      </c>
      <c r="M2">
        <f>ROUND(((1-POWER(1-((0.02+(((((1-POWER(1-((0.02+(((((1-POWER(1-((0.02+(((((1-POWER(1-((0.02+(((((1-POWER(1-((0.02+(((((1-POWER(1-((0.02+(((((1-POWER(1-((0.02+(((((1-POWER(1-((0.02+(((((1-POWER(1-((0.02+(((22)/100))*0.96)),(((((MIN((L$2),99))/100))+5.0)/(1-(((MIN((L$2),99))/100))+5.0))))*100))/100))*0.96)),(((((MIN(($K$2),99))/100))+5.0)/(1-(((MIN(($K$2),99))/100))+5.0))))*100))/100))*0.96)),(((((MIN((J2),99))/100))+5.0)/(1-(((MIN((J2),99))/100))+5.0))))*100))/100))*0.96)),(((((MIN(($I$2),99))/100))+5.0)/(1-(((MIN(($I$2),99))/100))+5.0))))*100))/100))*0.96)),(((((MIN((H$2),99))/100))+5.0)/(1-(((MIN((H$2),99))/100))+5.0))))*100))/100))*0.96)),(((((MIN((G2),99))/100))+5.0)/(1-(((MIN((G2),99))/100))+5.0))))*100))/100))*0.96)),(((((MIN(($F$2),99))/100))+5.0)/(1-(((MIN(($F$2),99))/100))+5.0))))*100))/100))*0.96)),(((((MIN(($E2),99))/100))+5.0)/(1-(((MIN(($E2),99))/100))+5.0))))*100))/100))*0.96)),(((((MIN((M$1),99))/100))+5.0)/(1-(((MIN((M$1),99))/100))+5.0))))*100),0)</f>
        <v/>
      </c>
      <c r="N2">
        <f>ROUND(((1-POWER(1-((0.02+(((((1-POWER(1-((0.02+(((((1-POWER(1-((0.02+(((((1-POWER(1-((0.02+(((((1-POWER(1-((0.02+(((((1-POWER(1-((0.02+(((((1-POWER(1-((0.02+(((((1-POWER(1-((0.02+(((((1-POWER(1-((0.02+(((82)/100))*0.96)),(((((MIN(($M2),99))/100))+5.0)/(1-(((MIN(($M2),99))/100))+5.0))))*100))/100))*0.96)),(((((MIN(($L$2),99))/100))+5.0)/(1-(((MIN(($L$2),99))/100))+5.0))))*100))/100))*0.96)),(((((MIN(($K$2),99))/100))+5.0)/(1-(((MIN(($K$2),99))/100))+5.0))))*100))/100))*0.96)),(((((MIN((J$2),99))/100))+5.0)/(1-(((MIN((J$2),99))/100))+5.0))))*100))/100))*0.96)),(((((MIN((I$2),99))/100))+5.0)/(1-(((MIN((I$2),99))/100))+5.0))))*100))/100))*0.96)),(((((MIN((H2),99))/100))+5.0)/(1-(((MIN((H2),99))/100))+5.0))))*100))/100))*0.96)),(((((MIN(($G2),99))/100))+5.0)/(1-(((MIN(($G2),99))/100))+5.0))))*100))/100))*0.96)),(((((MIN((F2),99))/100))+5.0)/(1-(((MIN((F2),99))/100))+5.0))))*100))/100))*0.96)),(((((MIN(($N$1),99))/100))+5.0)/(1-(((MIN(($N$1),99))/100))+5.0))))*100),0)</f>
        <v/>
      </c>
      <c r="O2">
        <f>ROUND(((1-POWER(1-((0.02+(((((1-POWER(1-((0.02+(((((1-POWER(1-((0.02+(((((1-POWER(1-((0.02+(((((1-POWER(1-((0.02+(((((1-POWER(1-((0.02+(((((1-POWER(1-((0.02+(((((1-POWER(1-((0.02+(((((1-POWER(1-((0.02+(((18)/100))*0.96)),(((((MIN((N$2),99))/100))+5.0)/(1-(((MIN((N$2),99))/100))+5.0))))*100))/100))*0.96)),(((((MIN((M2),99))/100))+5.0)/(1-(((MIN((M2),99))/100))+5.0))))*100))/100))*0.96)),(((((MIN(($L2),99))/100))+5.0)/(1-(((MIN(($L2),99))/100))+5.0))))*100))/100))*0.96)),(((((MIN((K2),99))/100))+5.0)/(1-(((MIN((K2),99))/100))+5.0))))*100))/100))*0.96)),(((((MIN(($J2),99))/100))+5.0)/(1-(((MIN(($J2),99))/100))+5.0))))*100))/100))*0.96)),(((((MIN((I2),99))/100))+5.0)/(1-(((MIN((I2),99))/100))+5.0))))*100))/100))*0.96)),(((((MIN((H2),99))/100))+5.0)/(1-(((MIN((H2),99))/100))+5.0))))*100))/100))*0.96)),(((((MIN(($G2),99))/100))+5.0)/(1-(((MIN(($G2),99))/100))+5.0))))*100))/100))*0.96)),(((((MIN((O1),99))/100))+5.0)/(1-(((MIN((O1),99))/100))+5.0))))*100),0)</f>
        <v/>
      </c>
      <c r="P2">
        <f>ROUND(((1-POWER(1-((0.02+(((((1-POWER(1-((0.02+(((((1-POWER(1-((0.02+(((((1-POWER(1-((0.02+(((((1-POWER(1-((0.02+(((((1-POWER(1-((0.02+(((((1-POWER(1-((0.02+(((((1-POWER(1-((0.02+(((((1-POWER(1-((0.02+(((23)/100))*0.96)),(((((MIN(($O2),99))/100))+5.0)/(1-(((MIN(($O2),99))/100))+5.0))))*100))/100))*0.96)),(((((MIN(($N2),99))/100))+5.0)/(1-(((MIN(($N2),99))/100))+5.0))))*100))/100))*0.96)),(((((MIN((M2),99))/100))+5.0)/(1-(((MIN((M2),99))/100))+5.0))))*100))/100))*0.96)),(((((MIN((L$2),99))/100))+5.0)/(1-(((MIN((L$2),99))/100))+5.0))))*100))/100))*0.96)),(((((MIN((K$2),99))/100))+5.0)/(1-(((MIN((K$2),99))/100))+5.0))))*100))/100))*0.96)),(((((MIN((J$2),99))/100))+5.0)/(1-(((MIN((J$2),99))/100))+5.0))))*100))/100))*0.96)),(((((MIN((I$2),99))/100))+5.0)/(1-(((MIN((I$2),99))/100))+5.0))))*100))/100))*0.96)),(((((MIN(($H$2),99))/100))+5.0)/(1-(((MIN(($H$2),99))/100))+5.0))))*100))/100))*0.96)),(((((MIN(($P$1),99))/100))+5.0)/(1-(((MIN(($P$1),99))/100))+5.0))))*100),0)</f>
        <v/>
      </c>
      <c r="Q2">
        <f>ROUND(((1-POWER(1-((0.02+(((((1-POWER(1-((0.02+(((((1-POWER(1-((0.02+(((((1-POWER(1-((0.02+(((((1-POWER(1-((0.02+(((((1-POWER(1-((0.02+(((((1-POWER(1-((0.02+(((((1-POWER(1-((0.02+(((((1-POWER(1-((0.02+(((37)/100))*0.96)),(((((MIN(($P$2),99))/100))+5.0)/(1-(((MIN(($P$2),99))/100))+5.0))))*100))/100))*0.96)),(((((MIN((O2),99))/100))+5.0)/(1-(((MIN((O2),99))/100))+5.0))))*100))/100))*0.96)),(((((MIN(($N$2),99))/100))+5.0)/(1-(((MIN(($N$2),99))/100))+5.0))))*100))/100))*0.96)),(((((MIN((M2),99))/100))+5.0)/(1-(((MIN((M2),99))/100))+5.0))))*100))/100))*0.96)),(((((MIN((L$2),99))/100))+5.0)/(1-(((MIN((L$2),99))/100))+5.0))))*100))/100))*0.96)),(((((MIN(($K2),99))/100))+5.0)/(1-(((MIN(($K2),99))/100))+5.0))))*100))/100))*0.96)),(((((MIN(($J$2),99))/100))+5.0)/(1-(((MIN(($J$2),99))/100))+5.0))))*100))/100))*0.96)),(((((MIN((I$2),99))/100))+5.0)/(1-(((MIN((I$2),99))/100))+5.0))))*100))/100))*0.96)),(((((MIN(($Q1),99))/100))+5.0)/(1-(((MIN(($Q1),99))/100))+5.0))))*100),0)</f>
        <v/>
      </c>
      <c r="R2">
        <f>ROUND(((1-POWER(1-((0.02+(((((1-POWER(1-((0.02+(((((1-POWER(1-((0.02+(((((1-POWER(1-((0.02+(((((1-POWER(1-((0.02+(((((1-POWER(1-((0.02+(((((1-POWER(1-((0.02+(((((1-POWER(1-((0.02+(((((1-POWER(1-((0.02+(((66)/100))*0.96)),(((((MIN(($Q$2),99))/100))+5.0)/(1-(((MIN(($Q$2),99))/100))+5.0))))*100))/100))*0.96)),(((((MIN(($P$2),99))/100))+5.0)/(1-(((MIN(($P$2),99))/100))+5.0))))*100))/100))*0.96)),(((((MIN(($O$2),99))/100))+5.0)/(1-(((MIN(($O$2),99))/100))+5.0))))*100))/100))*0.96)),(((((MIN((N2),99))/100))+5.0)/(1-(((MIN((N2),99))/100))+5.0))))*100))/100))*0.96)),(((((MIN((M$2),99))/100))+5.0)/(1-(((MIN((M$2),99))/100))+5.0))))*100))/100))*0.96)),(((((MIN(($L$2),99))/100))+5.0)/(1-(((MIN(($L$2),99))/100))+5.0))))*100))/100))*0.96)),(((((MIN(($K$2),99))/100))+5.0)/(1-(((MIN(($K$2),99))/100))+5.0))))*100))/100))*0.96)),(((((MIN(($J2),99))/100))+5.0)/(1-(((MIN(($J2),99))/100))+5.0))))*100))/100))*0.96)),(((((MIN((R$1),99))/100))+5.0)/(1-(((MIN((R$1),99))/100))+5.0))))*100),0)</f>
        <v/>
      </c>
      <c r="S2">
        <f>ROUND(((1-POWER(1-((0.02+(((((1-POWER(1-((0.02+(((((1-POWER(1-((0.02+(((((1-POWER(1-((0.02+(((((1-POWER(1-((0.02+(((((1-POWER(1-((0.02+(((((1-POWER(1-((0.02+(((((1-POWER(1-((0.02+(((((1-POWER(1-((0.02+(((39)/100))*0.96)),(((((MIN(($R2),99))/100))+5.0)/(1-(((MIN(($R2),99))/100))+5.0))))*100))/100))*0.96)),(((((MIN(($Q$2),99))/100))+5.0)/(1-(((MIN(($Q$2),99))/100))+5.0))))*100))/100))*0.96)),(((((MIN(($P$2),99))/100))+5.0)/(1-(((MIN(($P$2),99))/100))+5.0))))*100))/100))*0.96)),(((((MIN(($O2),99))/100))+5.0)/(1-(((MIN(($O2),99))/100))+5.0))))*100))/100))*0.96)),(((((MIN((N2),99))/100))+5.0)/(1-(((MIN((N2),99))/100))+5.0))))*100))/100))*0.96)),(((((MIN(($M2),99))/100))+5.0)/(1-(((MIN(($M2),99))/100))+5.0))))*100))/100))*0.96)),(((((MIN((L$2),99))/100))+5.0)/(1-(((MIN((L$2),99))/100))+5.0))))*100))/100))*0.96)),(((((MIN(($K2),99))/100))+5.0)/(1-(((MIN(($K2),99))/100))+5.0))))*100))/100))*0.96)),(((((MIN((S$1),99))/100))+5.0)/(1-(((MIN((S$1),99))/100))+5.0))))*100),0)</f>
        <v/>
      </c>
      <c r="T2">
        <f>ROUND(((1-POWER(1-((0.02+(((((1-POWER(1-((0.02+(((((1-POWER(1-((0.02+(((((1-POWER(1-((0.02+(((((1-POWER(1-((0.02+(((((1-POWER(1-((0.02+(((((1-POWER(1-((0.02+(((((1-POWER(1-((0.02+(((((1-POWER(1-((0.02+(((93)/100))*0.96)),(((((MIN(($S$2),99))/100))+5.0)/(1-(((MIN(($S$2),99))/100))+5.0))))*100))/100))*0.96)),(((((MIN((R$2),99))/100))+5.0)/(1-(((MIN((R$2),99))/100))+5.0))))*100))/100))*0.96)),(((((MIN((Q2),99))/100))+5.0)/(1-(((MIN((Q2),99))/100))+5.0))))*100))/100))*0.96)),(((((MIN(($P$2),99))/100))+5.0)/(1-(((MIN(($P$2),99))/100))+5.0))))*100))/100))*0.96)),(((((MIN(($O$2),99))/100))+5.0)/(1-(((MIN(($O$2),99))/100))+5.0))))*100))/100))*0.96)),(((((MIN((N2),99))/100))+5.0)/(1-(((MIN((N2),99))/100))+5.0))))*100))/100))*0.96)),(((((MIN((M$2),99))/100))+5.0)/(1-(((MIN((M$2),99))/100))+5.0))))*100))/100))*0.96)),(((((MIN((L2),99))/100))+5.0)/(1-(((MIN((L2),99))/100))+5.0))))*100))/100))*0.96)),(((((MIN(($T$1),99))/100))+5.0)/(1-(((MIN(($T$1),99))/100))+5.0))))*100),0)</f>
        <v/>
      </c>
    </row>
    <row r="3">
      <c r="A3">
        <f>ROUND(((1-POWER(1-((0.02+(((((1-POWER(1-((0.02+(((78)/100))*0.96)),(((((MIN(($A2),99))/100))+5.0)/(1-(((MIN(($A2),99))/100))+5.0))))*100))/100))*0.96)),(((((MIN((A1),99))/100))+5.0)/(1-(((MIN((A1),99))/100))+5.0))))*100),0)</f>
        <v/>
      </c>
      <c r="B3">
        <f>ROUND(((1-POWER(1-((0.02+(((((1-POWER(1-((0.02+(((((1-POWER(1-((0.02+(((87)/100))*0.96)),(((((MIN(($A3),99))/100))+5.0)/(1-(((MIN(($A3),99))/100))+5.0))))*100))/100))*0.96)),(((((MIN((B2),99))/100))+5.0)/(1-(((MIN((B2),99))/100))+5.0))))*100))/100))*0.96)),(((((MIN(($B1),99))/100))+5.0)/(1-(((MIN(($B1),99))/100))+5.0))))*100),0)</f>
        <v/>
      </c>
      <c r="C3">
        <f>ROUND(((1-POWER(1-((0.02+(((((1-POWER(1-((0.02+(((((1-POWER(1-((0.02+(((((1-POWER(1-((0.02+(((69)/100))*0.96)),(((((MIN(($B3),99))/100))+5.0)/(1-(((MIN(($B3),99))/100))+5.0))))*100))/100))*0.96)),(((((MIN((A$3),99))/100))+5.0)/(1-(((MIN((A$3),99))/100))+5.0))))*100))/100))*0.96)),(((((MIN(($C$2),99))/100))+5.0)/(1-(((MIN(($C$2),99))/100))+5.0))))*100))/100))*0.96)),(((((MIN((C1),99))/100))+5.0)/(1-(((MIN((C1),99))/100))+5.0))))*100),0)</f>
        <v/>
      </c>
      <c r="D3">
        <f>ROUND(((1-POWER(1-((0.02+(((((1-POWER(1-((0.02+(((((1-POWER(1-((0.02+(((((1-POWER(1-((0.02+(((((1-POWER(1-((0.02+(((86)/100))*0.96)),(((((MIN((C$3),99))/100))+5.0)/(1-(((MIN((C$3),99))/100))+5.0))))*100))/100))*0.96)),(((((MIN((B$3),99))/100))+5.0)/(1-(((MIN((B$3),99))/100))+5.0))))*100))/100))*0.96)),(((((MIN(($A$3),99))/100))+5.0)/(1-(((MIN(($A$3),99))/100))+5.0))))*100))/100))*0.96)),(((((MIN(($D$2),99))/100))+5.0)/(1-(((MIN(($D$2),99))/100))+5.0))))*100))/100))*0.96)),(((((MIN(($D1),99))/100))+5.0)/(1-(((MIN(($D1),99))/100))+5.0))))*100),0)</f>
        <v/>
      </c>
      <c r="E3">
        <f>ROUND(((1-POWER(1-((0.02+(((((1-POWER(1-((0.02+(((((1-POWER(1-((0.02+(((((1-POWER(1-((0.02+(((((1-POWER(1-((0.02+(((((1-POWER(1-((0.02+(((((1-POWER(1-((0.02+(((87)/100))*0.96)),(((((MIN(($D$3),99))/100))+5.0)/(1-(((MIN(($D$3),99))/100))+5.0))))*100))/100))*0.96)),(((((MIN(($C3),99))/100))+5.0)/(1-(((MIN(($C3),99))/100))+5.0))))*100))/100))*0.96)),(((((MIN((B3),99))/100))+5.0)/(1-(((MIN((B3),99))/100))+5.0))))*100))/100))*0.96)),(((((MIN(($A3),99))/100))+5.0)/(1-(((MIN(($A3),99))/100))+5.0))))*100))/100))*0.96)),(((((MIN((E$2),99))/100))+5.0)/(1-(((MIN((E$2),99))/100))+5.0))))*100))/100))*0.96)),(((((MIN(($E1),99))/100))+5.0)/(1-(((MIN(($E1),99))/100))+5.0))))*100))/100))*0.96)),(((((MIN(($F$3),99))/100))+5.0)/(1-(((MIN(($F$3),99))/100))+5.0))))*100),0)</f>
        <v/>
      </c>
      <c r="F3" t="n">
        <v>74</v>
      </c>
      <c r="G3">
        <f>ROUND(((1-POWER(1-((0.02+(((((1-POWER(1-((0.02+(((((1-POWER(1-((0.02+(((((1-POWER(1-((0.02+(((((1-POWER(1-((0.02+(((((1-POWER(1-((0.02+(((((1-POWER(1-((0.02+(((((1-POWER(1-((0.02+(((((1-POWER(1-((0.02+(((94)/100))*0.96)),(((((MIN(($F3),99))/100))+5.0)/(1-(((MIN(($F3),99))/100))+5.0))))*100))/100))*0.96)),(((((MIN((E3),99))/100))+5.0)/(1-(((MIN((E3),99))/100))+5.0))))*100))/100))*0.96)),(((((MIN((D$3),99))/100))+5.0)/(1-(((MIN((D$3),99))/100))+5.0))))*100))/100))*0.96)),(((((MIN((C$3),99))/100))+5.0)/(1-(((MIN((C$3),99))/100))+5.0))))*100))/100))*0.96)),(((((MIN((B$3),99))/100))+5.0)/(1-(((MIN((B$3),99))/100))+5.0))))*100))/100))*0.96)),(((((MIN((A3),99))/100))+5.0)/(1-(((MIN((A3),99))/100))+5.0))))*100))/100))*0.96)),(((((MIN(($G2),99))/100))+5.0)/(1-(((MIN(($G2),99))/100))+5.0))))*100))/100))*0.96)),(((((MIN(($G1),99))/100))+5.0)/(1-(((MIN(($G1),99))/100))+5.0))))*100))/100))*0.96)),(((((MIN((H$4),99))/100))+5.0)/(1-(((MIN((H$4),99))/100))+5.0))))*100),0)</f>
        <v/>
      </c>
      <c r="H3">
        <f>ROUND(((1-POWER(1-((0.02+(((((1-POWER(1-((0.02+(((((1-POWER(1-((0.02+(((((1-POWER(1-((0.02+(((((1-POWER(1-((0.02+(((((1-POWER(1-((0.02+(((((1-POWER(1-((0.02+(((((1-POWER(1-((0.02+(((((1-POWER(1-((0.02+(((((1-POWER(1-((0.02+(((82)/100))*0.96)),(((((MIN((G3),99))/100))+5.0)/(1-(((MIN((G3),99))/100))+5.0))))*100))/100))*0.96)),(((((MIN((F3),99))/100))+5.0)/(1-(((MIN((F3),99))/100))+5.0))))*100))/100))*0.96)),(((((MIN((E3),99))/100))+5.0)/(1-(((MIN((E3),99))/100))+5.0))))*100))/100))*0.96)),(((((MIN((D$3),99))/100))+5.0)/(1-(((MIN((D$3),99))/100))+5.0))))*100))/100))*0.96)),(((((MIN((C3),99))/100))+5.0)/(1-(((MIN((C3),99))/100))+5.0))))*100))/100))*0.96)),(((((MIN((B3),99))/100))+5.0)/(1-(((MIN((B3),99))/100))+5.0))))*100))/100))*0.96)),(((((MIN(($A3),99))/100))+5.0)/(1-(((MIN(($A3),99))/100))+5.0))))*100))/100))*0.96)),(((((MIN(($H2),99))/100))+5.0)/(1-(((MIN(($H2),99))/100))+5.0))))*100))/100))*0.96)),(((((MIN(($H1),99))/100))+5.0)/(1-(((MIN(($H1),99))/100))+5.0))))*100))/100))*0.96)),(((((MIN((H4),99))/100))+5.0)/(1-(((MIN((H4),99))/100))+5.0))))*100),0)</f>
        <v/>
      </c>
      <c r="I3">
        <f>ROUND(((1-POWER(1-((0.02+(((((1-POWER(1-((0.02+(((((1-POWER(1-((0.02+(((((1-POWER(1-((0.02+(((((1-POWER(1-((0.02+(((((1-POWER(1-((0.02+(((((1-POWER(1-((0.02+(((((1-POWER(1-((0.02+(((((1-POWER(1-((0.02+(((((1-POWER(1-((0.02+(((6)/100))*0.96)),(((((MIN(($H3),99))/100))+5.0)/(1-(((MIN(($H3),99))/100))+5.0))))*100))/100))*0.96)),(((((MIN((G$3),99))/100))+5.0)/(1-(((MIN((G$3),99))/100))+5.0))))*100))/100))*0.96)),(((((MIN(($F3),99))/100))+5.0)/(1-(((MIN(($F3),99))/100))+5.0))))*100))/100))*0.96)),(((((MIN((E3),99))/100))+5.0)/(1-(((MIN((E3),99))/100))+5.0))))*100))/100))*0.96)),(((((MIN((D3),99))/100))+5.0)/(1-(((MIN((D3),99))/100))+5.0))))*100))/100))*0.96)),(((((MIN(($C3),99))/100))+5.0)/(1-(((MIN(($C3),99))/100))+5.0))))*100))/100))*0.96)),(((((MIN((B$3),99))/100))+5.0)/(1-(((MIN((B$3),99))/100))+5.0))))*100))/100))*0.96)),(((((MIN((A$3),99))/100))+5.0)/(1-(((MIN((A$3),99))/100))+5.0))))*100))/100))*0.96)),(((((MIN((I2),99))/100))+5.0)/(1-(((MIN((I2),99))/100))+5.0))))*100))/100))*0.96)),(((((MIN((I$1),99))/100))+5.0)/(1-(((MIN((I$1),99))/100))+5.0))))*100),0)</f>
        <v/>
      </c>
      <c r="J3">
        <f>ROUND(((1-POWER(1-((0.02+(((((1-POWER(1-((0.02+(((((1-POWER(1-((0.02+(((((1-POWER(1-((0.02+(((((1-POWER(1-((0.02+(((((1-POWER(1-((0.02+(((((1-POWER(1-((0.02+(((((1-POWER(1-((0.02+(((((1-POWER(1-((0.02+(((((1-POWER(1-((0.02+(((23)/100))*0.96)),(((((MIN(($I$3),99))/100))+5.0)/(1-(((MIN(($I$3),99))/100))+5.0))))*100))/100))*0.96)),(((((MIN((H3),99))/100))+5.0)/(1-(((MIN((H3),99))/100))+5.0))))*100))/100))*0.96)),(((((MIN((G3),99))/100))+5.0)/(1-(((MIN((G3),99))/100))+5.0))))*100))/100))*0.96)),(((((MIN(($F3),99))/100))+5.0)/(1-(((MIN(($F3),99))/100))+5.0))))*100))/100))*0.96)),(((((MIN((E$3),99))/100))+5.0)/(1-(((MIN((E$3),99))/100))+5.0))))*100))/100))*0.96)),(((((MIN(($D$3),99))/100))+5.0)/(1-(((MIN(($D$3),99))/100))+5.0))))*100))/100))*0.96)),(((((MIN((C3),99))/100))+5.0)/(1-(((MIN((C3),99))/100))+5.0))))*100))/100))*0.96)),(((((MIN((B$3),99))/100))+5.0)/(1-(((MIN((B$3),99))/100))+5.0))))*100))/100))*0.96)),(((((MIN(($J2),99))/100))+5.0)/(1-(((MIN(($J2),99))/100))+5.0))))*100))/100))*0.96)),(((((MIN(($J1),99))/100))+5.0)/(1-(((MIN(($J1),99))/100))+5.0))))*100),0)</f>
        <v/>
      </c>
      <c r="K3">
        <f>ROUND(((1-POWER(1-((0.02+(((((1-POWER(1-((0.02+(((((1-POWER(1-((0.02+(((((1-POWER(1-((0.02+(((((1-POWER(1-((0.02+(((((1-POWER(1-((0.02+(((((1-POWER(1-((0.02+(((((1-POWER(1-((0.02+(((((1-POWER(1-((0.02+(((((1-POWER(1-((0.02+(((71)/100))*0.96)),(((((MIN((J$3),99))/100))+5.0)/(1-(((MIN((J$3),99))/100))+5.0))))*100))/100))*0.96)),(((((MIN(($I3),99))/100))+5.0)/(1-(((MIN(($I3),99))/100))+5.0))))*100))/100))*0.96)),(((((MIN(($H$3),99))/100))+5.0)/(1-(((MIN(($H$3),99))/100))+5.0))))*100))/100))*0.96)),(((((MIN(($G$3),99))/100))+5.0)/(1-(((MIN(($G$3),99))/100))+5.0))))*100))/100))*0.96)),(((((MIN((F$3),99))/100))+5.0)/(1-(((MIN((F$3),99))/100))+5.0))))*100))/100))*0.96)),(((((MIN(($E3),99))/100))+5.0)/(1-(((MIN(($E3),99))/100))+5.0))))*100))/100))*0.96)),(((((MIN((D3),99))/100))+5.0)/(1-(((MIN((D3),99))/100))+5.0))))*100))/100))*0.96)),(((((MIN(($C$3),99))/100))+5.0)/(1-(((MIN(($C$3),99))/100))+5.0))))*100))/100))*0.96)),(((((MIN((K2),99))/100))+5.0)/(1-(((MIN((K2),99))/100))+5.0))))*100))/100))*0.96)),(((((MIN(($K$1),99))/100))+5.0)/(1-(((MIN(($K$1),99))/100))+5.0))))*100),0)</f>
        <v/>
      </c>
      <c r="L3">
        <f>ROUND(((1-POWER(1-((0.02+(((((1-POWER(1-((0.02+(((((1-POWER(1-((0.02+(((((1-POWER(1-((0.02+(((((1-POWER(1-((0.02+(((((1-POWER(1-((0.02+(((((1-POWER(1-((0.02+(((((1-POWER(1-((0.02+(((((1-POWER(1-((0.02+(((((1-POWER(1-((0.02+(((35)/100))*0.96)),(((((MIN(($K3),99))/100))+5.0)/(1-(((MIN(($K3),99))/100))+5.0))))*100))/100))*0.96)),(((((MIN(($J$3),99))/100))+5.0)/(1-(((MIN(($J$3),99))/100))+5.0))))*100))/100))*0.96)),(((((MIN(($I3),99))/100))+5.0)/(1-(((MIN(($I3),99))/100))+5.0))))*100))/100))*0.96)),(((((MIN(($H3),99))/100))+5.0)/(1-(((MIN(($H3),99))/100))+5.0))))*100))/100))*0.96)),(((((MIN(($G3),99))/100))+5.0)/(1-(((MIN(($G3),99))/100))+5.0))))*100))/100))*0.96)),(((((MIN(($F$3),99))/100))+5.0)/(1-(((MIN(($F$3),99))/100))+5.0))))*100))/100))*0.96)),(((((MIN((E3),99))/100))+5.0)/(1-(((MIN((E3),99))/100))+5.0))))*100))/100))*0.96)),(((((MIN(($D$3),99))/100))+5.0)/(1-(((MIN(($D$3),99))/100))+5.0))))*100))/100))*0.96)),(((((MIN(($L2),99))/100))+5.0)/(1-(((MIN(($L2),99))/100))+5.0))))*100))/100))*0.96)),(((((MIN((L1),99))/100))+5.0)/(1-(((MIN((L1),99))/100))+5.0))))*100),0)</f>
        <v/>
      </c>
      <c r="M3">
        <f>ROUND(((1-POWER(1-((0.02+(((((1-POWER(1-((0.02+(((((1-POWER(1-((0.02+(((((1-POWER(1-((0.02+(((((1-POWER(1-((0.02+(((((1-POWER(1-((0.02+(((((1-POWER(1-((0.02+(((((1-POWER(1-((0.02+(((((1-POWER(1-((0.02+(((((1-POWER(1-((0.02+(((37)/100))*0.96)),(((((MIN((L3),99))/100))+5.0)/(1-(((MIN((L3),99))/100))+5.0))))*100))/100))*0.96)),(((((MIN(($K$3),99))/100))+5.0)/(1-(((MIN(($K$3),99))/100))+5.0))))*100))/100))*0.96)),(((((MIN((J$3),99))/100))+5.0)/(1-(((MIN((J$3),99))/100))+5.0))))*100))/100))*0.96)),(((((MIN((I3),99))/100))+5.0)/(1-(((MIN((I3),99))/100))+5.0))))*100))/100))*0.96)),(((((MIN((H$3),99))/100))+5.0)/(1-(((MIN((H$3),99))/100))+5.0))))*100))/100))*0.96)),(((((MIN((G$3),99))/100))+5.0)/(1-(((MIN((G$3),99))/100))+5.0))))*100))/100))*0.96)),(((((MIN((F$3),99))/100))+5.0)/(1-(((MIN((F$3),99))/100))+5.0))))*100))/100))*0.96)),(((((MIN(($E$3),99))/100))+5.0)/(1-(((MIN(($E$3),99))/100))+5.0))))*100))/100))*0.96)),(((((MIN((M$2),99))/100))+5.0)/(1-(((MIN((M$2),99))/100))+5.0))))*100))/100))*0.96)),(((((MIN(($M$1),99))/100))+5.0)/(1-(((MIN(($M$1),99))/100))+5.0))))*100),0)</f>
        <v/>
      </c>
      <c r="N3">
        <f>ROUND(((1-POWER(1-((0.02+(((((1-POWER(1-((0.02+(((((1-POWER(1-((0.02+(((((1-POWER(1-((0.02+(((((1-POWER(1-((0.02+(((((1-POWER(1-((0.02+(((((1-POWER(1-((0.02+(((((1-POWER(1-((0.02+(((((1-POWER(1-((0.02+(((((1-POWER(1-((0.02+(((91)/100))*0.96)),(((((MIN((M$3),99))/100))+5.0)/(1-(((MIN((M$3),99))/100))+5.0))))*100))/100))*0.96)),(((((MIN(($L3),99))/100))+5.0)/(1-(((MIN(($L3),99))/100))+5.0))))*100))/100))*0.96)),(((((MIN(($K$3),99))/100))+5.0)/(1-(((MIN(($K$3),99))/100))+5.0))))*100))/100))*0.96)),(((((MIN((J$3),99))/100))+5.0)/(1-(((MIN((J$3),99))/100))+5.0))))*100))/100))*0.96)),(((((MIN((I3),99))/100))+5.0)/(1-(((MIN((I3),99))/100))+5.0))))*100))/100))*0.96)),(((((MIN(($H3),99))/100))+5.0)/(1-(((MIN(($H3),99))/100))+5.0))))*100))/100))*0.96)),(((((MIN((G$3),99))/100))+5.0)/(1-(((MIN((G$3),99))/100))+5.0))))*100))/100))*0.96)),(((((MIN((F$3),99))/100))+5.0)/(1-(((MIN((F$3),99))/100))+5.0))))*100))/100))*0.96)),(((((MIN((N2),99))/100))+5.0)/(1-(((MIN((N2),99))/100))+5.0))))*100))/100))*0.96)),(((((MIN(($N1),99))/100))+5.0)/(1-(((MIN(($N1),99))/100))+5.0))))*100),0)</f>
        <v/>
      </c>
      <c r="O3">
        <f>ROUND(((1-POWER(1-((0.02+(((((1-POWER(1-((0.02+(((((1-POWER(1-((0.02+(((((1-POWER(1-((0.02+(((((1-POWER(1-((0.02+(((((1-POWER(1-((0.02+(((((1-POWER(1-((0.02+(((((1-POWER(1-((0.02+(((((1-POWER(1-((0.02+(((((1-POWER(1-((0.02+(((19)/100))*0.96)),(((((MIN((N3),99))/100))+5.0)/(1-(((MIN((N3),99))/100))+5.0))))*100))/100))*0.96)),(((((MIN((M3),99))/100))+5.0)/(1-(((MIN((M3),99))/100))+5.0))))*100))/100))*0.96)),(((((MIN((L$3),99))/100))+5.0)/(1-(((MIN((L$3),99))/100))+5.0))))*100))/100))*0.96)),(((((MIN((K3),99))/100))+5.0)/(1-(((MIN((K3),99))/100))+5.0))))*100))/100))*0.96)),(((((MIN(($J3),99))/100))+5.0)/(1-(((MIN(($J3),99))/100))+5.0))))*100))/100))*0.96)),(((((MIN((I3),99))/100))+5.0)/(1-(((MIN((I3),99))/100))+5.0))))*100))/100))*0.96)),(((((MIN((H$3),99))/100))+5.0)/(1-(((MIN((H$3),99))/100))+5.0))))*100))/100))*0.96)),(((((MIN((G3),99))/100))+5.0)/(1-(((MIN((G3),99))/100))+5.0))))*100))/100))*0.96)),(((((MIN((O$2),99))/100))+5.0)/(1-(((MIN((O$2),99))/100))+5.0))))*100))/100))*0.96)),(((((MIN(($O$1),99))/100))+5.0)/(1-(((MIN(($O$1),99))/100))+5.0))))*100),0)</f>
        <v/>
      </c>
      <c r="P3">
        <f>ROUND(((1-POWER(1-((0.02+(((((1-POWER(1-((0.02+(((((1-POWER(1-((0.02+(((((1-POWER(1-((0.02+(((((1-POWER(1-((0.02+(((((1-POWER(1-((0.02+(((((1-POWER(1-((0.02+(((((1-POWER(1-((0.02+(((((1-POWER(1-((0.02+(((((1-POWER(1-((0.02+(((60)/100))*0.96)),(((((MIN((O3),99))/100))+5.0)/(1-(((MIN((O3),99))/100))+5.0))))*100))/100))*0.96)),(((((MIN((N3),99))/100))+5.0)/(1-(((MIN((N3),99))/100))+5.0))))*100))/100))*0.96)),(((((MIN(($M3),99))/100))+5.0)/(1-(((MIN(($M3),99))/100))+5.0))))*100))/100))*0.96)),(((((MIN(($L3),99))/100))+5.0)/(1-(((MIN(($L3),99))/100))+5.0))))*100))/100))*0.96)),(((((MIN(($K$3),99))/100))+5.0)/(1-(((MIN(($K$3),99))/100))+5.0))))*100))/100))*0.96)),(((((MIN(($J3),99))/100))+5.0)/(1-(((MIN(($J3),99))/100))+5.0))))*100))/100))*0.96)),(((((MIN(($I3),99))/100))+5.0)/(1-(((MIN(($I3),99))/100))+5.0))))*100))/100))*0.96)),(((((MIN((H3),99))/100))+5.0)/(1-(((MIN((H3),99))/100))+5.0))))*100))/100))*0.96)),(((((MIN(($P2),99))/100))+5.0)/(1-(((MIN(($P2),99))/100))+5.0))))*100))/100))*0.96)),(((((MIN((P$1),99))/100))+5.0)/(1-(((MIN((P$1),99))/100))+5.0))))*100),0)</f>
        <v/>
      </c>
      <c r="Q3">
        <f>ROUND(((1-POWER(1-((0.02+(((((1-POWER(1-((0.02+(((((1-POWER(1-((0.02+(((((1-POWER(1-((0.02+(((((1-POWER(1-((0.02+(((((1-POWER(1-((0.02+(((((1-POWER(1-((0.02+(((((1-POWER(1-((0.02+(((((1-POWER(1-((0.02+(((((1-POWER(1-((0.02+(((23)/100))*0.96)),(((((MIN(($P$3),99))/100))+5.0)/(1-(((MIN(($P$3),99))/100))+5.0))))*100))/100))*0.96)),(((((MIN(($O3),99))/100))+5.0)/(1-(((MIN(($O3),99))/100))+5.0))))*100))/100))*0.96)),(((((MIN(($N3),99))/100))+5.0)/(1-(((MIN(($N3),99))/100))+5.0))))*100))/100))*0.96)),(((((MIN(($M$3),99))/100))+5.0)/(1-(((MIN(($M$3),99))/100))+5.0))))*100))/100))*0.96)),(((((MIN(($L3),99))/100))+5.0)/(1-(((MIN(($L3),99))/100))+5.0))))*100))/100))*0.96)),(((((MIN(($K$3),99))/100))+5.0)/(1-(((MIN(($K$3),99))/100))+5.0))))*100))/100))*0.96)),(((((MIN(($J$3),99))/100))+5.0)/(1-(((MIN(($J$3),99))/100))+5.0))))*100))/100))*0.96)),(((((MIN((I3),99))/100))+5.0)/(1-(((MIN((I3),99))/100))+5.0))))*100))/100))*0.96)),(((((MIN((Q$2),99))/100))+5.0)/(1-(((MIN((Q$2),99))/100))+5.0))))*100))/100))*0.96)),(((((MIN(($Q1),99))/100))+5.0)/(1-(((MIN(($Q1),99))/100))+5.0))))*100),0)</f>
        <v/>
      </c>
      <c r="R3">
        <f>ROUND(((1-POWER(1-((0.02+(((((1-POWER(1-((0.02+(((((1-POWER(1-((0.02+(((((1-POWER(1-((0.02+(((((1-POWER(1-((0.02+(((((1-POWER(1-((0.02+(((((1-POWER(1-((0.02+(((((1-POWER(1-((0.02+(((((1-POWER(1-((0.02+(((((1-POWER(1-((0.02+(((70)/100))*0.96)),(((((MIN(($Q$3),99))/100))+5.0)/(1-(((MIN(($Q$3),99))/100))+5.0))))*100))/100))*0.96)),(((((MIN(($P$3),99))/100))+5.0)/(1-(((MIN(($P$3),99))/100))+5.0))))*100))/100))*0.96)),(((((MIN(($O3),99))/100))+5.0)/(1-(((MIN(($O3),99))/100))+5.0))))*100))/100))*0.96)),(((((MIN((N$3),99))/100))+5.0)/(1-(((MIN((N$3),99))/100))+5.0))))*100))/100))*0.96)),(((((MIN((M3),99))/100))+5.0)/(1-(((MIN((M3),99))/100))+5.0))))*100))/100))*0.96)),(((((MIN(($L3),99))/100))+5.0)/(1-(((MIN(($L3),99))/100))+5.0))))*100))/100))*0.96)),(((((MIN(($K$3),99))/100))+5.0)/(1-(((MIN(($K$3),99))/100))+5.0))))*100))/100))*0.96)),(((((MIN(($J3),99))/100))+5.0)/(1-(((MIN(($J3),99))/100))+5.0))))*100))/100))*0.96)),(((((MIN(($R$2),99))/100))+5.0)/(1-(((MIN(($R$2),99))/100))+5.0))))*100))/100))*0.96)),(((((MIN(($R1),99))/100))+5.0)/(1-(((MIN(($R1),99))/100))+5.0))))*100),0)</f>
        <v/>
      </c>
      <c r="S3">
        <f>ROUND(((1-POWER(1-((0.02+(((((1-POWER(1-((0.02+(((((1-POWER(1-((0.02+(((((1-POWER(1-((0.02+(((((1-POWER(1-((0.02+(((((1-POWER(1-((0.02+(((((1-POWER(1-((0.02+(((((1-POWER(1-((0.02+(((((1-POWER(1-((0.02+(((((1-POWER(1-((0.02+(((53)/100))*0.96)),(((((MIN(($R3),99))/100))+5.0)/(1-(((MIN(($R3),99))/100))+5.0))))*100))/100))*0.96)),(((((MIN(($Q$3),99))/100))+5.0)/(1-(((MIN(($Q$3),99))/100))+5.0))))*100))/100))*0.96)),(((((MIN((P$3),99))/100))+5.0)/(1-(((MIN((P$3),99))/100))+5.0))))*100))/100))*0.96)),(((((MIN((O3),99))/100))+5.0)/(1-(((MIN((O3),99))/100))+5.0))))*100))/100))*0.96)),(((((MIN(($N3),99))/100))+5.0)/(1-(((MIN(($N3),99))/100))+5.0))))*100))/100))*0.96)),(((((MIN(($M3),99))/100))+5.0)/(1-(((MIN(($M3),99))/100))+5.0))))*100))/100))*0.96)),(((((MIN(($L$3),99))/100))+5.0)/(1-(((MIN(($L$3),99))/100))+5.0))))*100))/100))*0.96)),(((((MIN((K$3),99))/100))+5.0)/(1-(((MIN((K$3),99))/100))+5.0))))*100))/100))*0.96)),(((((MIN((S$2),99))/100))+5.0)/(1-(((MIN((S$2),99))/100))+5.0))))*100))/100))*0.96)),(((((MIN((S$1),99))/100))+5.0)/(1-(((MIN((S$1),99))/100))+5.0))))*100),0)</f>
        <v/>
      </c>
      <c r="T3">
        <f>ROUND(((1-POWER(1-((0.02+(((((1-POWER(1-((0.02+(((((1-POWER(1-((0.02+(((((1-POWER(1-((0.02+(((((1-POWER(1-((0.02+(((((1-POWER(1-((0.02+(((((1-POWER(1-((0.02+(((((1-POWER(1-((0.02+(((((1-POWER(1-((0.02+(((((1-POWER(1-((0.02+(((56)/100))*0.96)),(((((MIN((S3),99))/100))+5.0)/(1-(((MIN((S3),99))/100))+5.0))))*100))/100))*0.96)),(((((MIN(($R3),99))/100))+5.0)/(1-(((MIN(($R3),99))/100))+5.0))))*100))/100))*0.96)),(((((MIN(($Q$3),99))/100))+5.0)/(1-(((MIN(($Q$3),99))/100))+5.0))))*100))/100))*0.96)),(((((MIN(($P$3),99))/100))+5.0)/(1-(((MIN(($P$3),99))/100))+5.0))))*100))/100))*0.96)),(((((MIN((O3),99))/100))+5.0)/(1-(((MIN((O3),99))/100))+5.0))))*100))/100))*0.96)),(((((MIN((N$3),99))/100))+5.0)/(1-(((MIN((N$3),99))/100))+5.0))))*100))/100))*0.96)),(((((MIN((M3),99))/100))+5.0)/(1-(((MIN((M3),99))/100))+5.0))))*100))/100))*0.96)),(((((MIN((L3),99))/100))+5.0)/(1-(((MIN((L3),99))/100))+5.0))))*100))/100))*0.96)),(((((MIN((T2),99))/100))+5.0)/(1-(((MIN((T2),99))/100))+5.0))))*100))/100))*0.96)),(((((MIN(($T$1),99))/100))+5.0)/(1-(((MIN(($T$1),99))/100))+5.0))))*100),0)</f>
        <v/>
      </c>
    </row>
    <row r="4">
      <c r="A4">
        <f>ROUND(((1-POWER(1-((0.02+(((((1-POWER(1-((0.02+(((((1-POWER(1-((0.02+(((79)/100))*0.96)),(((((MIN((A$3),99))/100))+5.0)/(1-(((MIN((A$3),99))/100))+5.0))))*100))/100))*0.96)),(((((MIN((A2),99))/100))+5.0)/(1-(((MIN((A2),99))/100))+5.0))))*100))/100))*0.96)),(((((MIN(($A$1),99))/100))+5.0)/(1-(((MIN(($A$1),99))/100))+5.0))))*100),0)</f>
        <v/>
      </c>
      <c r="B4">
        <f>ROUND(((1-POWER(1-((0.02+(((((1-POWER(1-((0.02+(((((1-POWER(1-((0.02+(((((1-POWER(1-((0.02+(((35)/100))*0.96)),(((((MIN((A4),99))/100))+5.0)/(1-(((MIN((A4),99))/100))+5.0))))*100))/100))*0.96)),(((((MIN(($B$3),99))/100))+5.0)/(1-(((MIN(($B$3),99))/100))+5.0))))*100))/100))*0.96)),(((((MIN((B2),99))/100))+5.0)/(1-(((MIN((B2),99))/100))+5.0))))*100))/100))*0.96)),(((((MIN((B$1),99))/100))+5.0)/(1-(((MIN((B$1),99))/100))+5.0))))*100),0)</f>
        <v/>
      </c>
      <c r="C4">
        <f>ROUND(((1-POWER(1-((0.02+(((((1-POWER(1-((0.02+(((((1-POWER(1-((0.02+(((((1-POWER(1-((0.02+(((((1-POWER(1-((0.02+(((29)/100))*0.96)),(((((MIN((B$4),99))/100))+5.0)/(1-(((MIN((B$4),99))/100))+5.0))))*100))/100))*0.96)),(((((MIN(($A4),99))/100))+5.0)/(1-(((MIN(($A4),99))/100))+5.0))))*100))/100))*0.96)),(((((MIN(($C3),99))/100))+5.0)/(1-(((MIN(($C3),99))/100))+5.0))))*100))/100))*0.96)),(((((MIN(($C$2),99))/100))+5.0)/(1-(((MIN(($C$2),99))/100))+5.0))))*100))/100))*0.96)),(((((MIN(($C$1),99))/100))+5.0)/(1-(((MIN(($C$1),99))/100))+5.0))))*100),0)</f>
        <v/>
      </c>
      <c r="D4">
        <f>ROUND(((1-POWER(1-((0.02+(((((1-POWER(1-((0.02+(((((1-POWER(1-((0.02+(((((1-POWER(1-((0.02+(((((1-POWER(1-((0.02+(((((1-POWER(1-((0.02+(((65)/100))*0.96)),(((((MIN(($C$4),99))/100))+5.0)/(1-(((MIN(($C$4),99))/100))+5.0))))*100))/100))*0.96)),(((((MIN((B4),99))/100))+5.0)/(1-(((MIN((B4),99))/100))+5.0))))*100))/100))*0.96)),(((((MIN((A4),99))/100))+5.0)/(1-(((MIN((A4),99))/100))+5.0))))*100))/100))*0.96)),(((((MIN(($D$3),99))/100))+5.0)/(1-(((MIN(($D$3),99))/100))+5.0))))*100))/100))*0.96)),(((((MIN((D2),99))/100))+5.0)/(1-(((MIN((D2),99))/100))+5.0))))*100))/100))*0.96)),(((((MIN((D$1),99))/100))+5.0)/(1-(((MIN((D$1),99))/100))+5.0))))*100),0)</f>
        <v/>
      </c>
      <c r="E4">
        <f>ROUND(((1-POWER(1-((0.02+(((((1-POWER(1-((0.02+(((((1-POWER(1-((0.02+(((((1-POWER(1-((0.02+(((((1-POWER(1-((0.02+(((((1-POWER(1-((0.02+(((((1-POWER(1-((0.02+(((91)/100))*0.96)),(((((MIN(($D4),99))/100))+5.0)/(1-(((MIN(($D4),99))/100))+5.0))))*100))/100))*0.96)),(((((MIN((C$4),99))/100))+5.0)/(1-(((MIN((C$4),99))/100))+5.0))))*100))/100))*0.96)),(((((MIN(($B$4),99))/100))+5.0)/(1-(((MIN(($B$4),99))/100))+5.0))))*100))/100))*0.96)),(((((MIN(($A$4),99))/100))+5.0)/(1-(((MIN(($A$4),99))/100))+5.0))))*100))/100))*0.96)),(((((MIN((E3),99))/100))+5.0)/(1-(((MIN((E3),99))/100))+5.0))))*100))/100))*0.96)),(((((MIN((E2),99))/100))+5.0)/(1-(((MIN((E2),99))/100))+5.0))))*100))/100))*0.96)),(((((MIN((E$1),99))/100))+5.0)/(1-(((MIN((E$1),99))/100))+5.0))))*100),0)</f>
        <v/>
      </c>
      <c r="F4">
        <f>ROUND(((1-POWER(1-((0.02+(((((1-POWER(1-((0.02+(((((1-POWER(1-((0.02+(((((1-POWER(1-((0.02+(((((1-POWER(1-((0.02+(((((1-POWER(1-((0.02+(((((1-POWER(1-((0.02+(((((1-POWER(1-((0.02+(((36)/100))*0.96)),(((((MIN(($E4),99))/100))+5.0)/(1-(((MIN(($E4),99))/100))+5.0))))*100))/100))*0.96)),(((((MIN(($D4),99))/100))+5.0)/(1-(((MIN(($D4),99))/100))+5.0))))*100))/100))*0.96)),(((((MIN(($C4),99))/100))+5.0)/(1-(((MIN(($C4),99))/100))+5.0))))*100))/100))*0.96)),(((((MIN((B4),99))/100))+5.0)/(1-(((MIN((B4),99))/100))+5.0))))*100))/100))*0.96)),(((((MIN((A$4),99))/100))+5.0)/(1-(((MIN((A$4),99))/100))+5.0))))*100))/100))*0.96)),(((((MIN((F3),99))/100))+5.0)/(1-(((MIN((F3),99))/100))+5.0))))*100))/100))*0.96)),(((((MIN((F2),99))/100))+5.0)/(1-(((MIN((F2),99))/100))+5.0))))*100))/100))*0.96)),(((((MIN(($F$1),99))/100))+5.0)/(1-(((MIN(($F$1),99))/100))+5.0))))*100),0)</f>
        <v/>
      </c>
      <c r="G4">
        <f>ROUND(((1-POWER(1-((0.02+(((((1-POWER(1-((0.02+(((((1-POWER(1-((0.02+(((((1-POWER(1-((0.02+(((((1-POWER(1-((0.02+(((((1-POWER(1-((0.02+(((((1-POWER(1-((0.02+(((((1-POWER(1-((0.02+(((((1-POWER(1-((0.02+(((((1-POWER(1-((0.02+(((44)/100))*0.96)),(((((MIN((F$4),99))/100))+5.0)/(1-(((MIN((F$4),99))/100))+5.0))))*100))/100))*0.96)),(((((MIN((E4),99))/100))+5.0)/(1-(((MIN((E4),99))/100))+5.0))))*100))/100))*0.96)),(((((MIN((D$4),99))/100))+5.0)/(1-(((MIN((D$4),99))/100))+5.0))))*100))/100))*0.96)),(((((MIN(($C4),99))/100))+5.0)/(1-(((MIN(($C4),99))/100))+5.0))))*100))/100))*0.96)),(((((MIN((B4),99))/100))+5.0)/(1-(((MIN((B4),99))/100))+5.0))))*100))/100))*0.96)),(((((MIN(($A$4),99))/100))+5.0)/(1-(((MIN(($A$4),99))/100))+5.0))))*100))/100))*0.96)),(((((MIN(($G$3),99))/100))+5.0)/(1-(((MIN(($G$3),99))/100))+5.0))))*100))/100))*0.96)),(((((MIN(($G2),99))/100))+5.0)/(1-(((MIN(($G2),99))/100))+5.0))))*100))/100))*0.96)),(((((MIN((G$1),99))/100))+5.0)/(1-(((MIN((G$1),99))/100))+5.0))))*100))/100))*0.96)),(((((MIN(($H$4),99))/100))+5.0)/(1-(((MIN(($H$4),99))/100))+5.0))))*100),0)</f>
        <v/>
      </c>
      <c r="H4" t="n">
        <v>44</v>
      </c>
      <c r="I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(53)/100))*0.96)),(((((MIN(($H$4),99))/100))+5.0)/(1-(((MIN(($H$4),99))/100))+5.0))))*100))/100))*0.96)),(((((MIN((G$4),99))/100))+5.0)/(1-(((MIN((G$4),99))/100))+5.0))))*100))/100))*0.96)),(((((MIN((F$4),99))/100))+5.0)/(1-(((MIN((F$4),99))/100))+5.0))))*100))/100))*0.96)),(((((MIN((E4),99))/100))+5.0)/(1-(((MIN((E4),99))/100))+5.0))))*100))/100))*0.96)),(((((MIN((D$4),99))/100))+5.0)/(1-(((MIN((D$4),99))/100))+5.0))))*100))/100))*0.96)),(((((MIN(($C$4),99))/100))+5.0)/(1-(((MIN(($C$4),99))/100))+5.0))))*100))/100))*0.96)),(((((MIN(($B$4),99))/100))+5.0)/(1-(((MIN(($B$4),99))/100))+5.0))))*100))/100))*0.96)),(((((MIN(($A4),99))/100))+5.0)/(1-(((MIN(($A4),99))/100))+5.0))))*100))/100))*0.96)),(((((MIN((I3),99))/100))+5.0)/(1-(((MIN((I3),99))/100))+5.0))))*100))/100))*0.96)),(((((MIN((I$2),99))/100))+5.0)/(1-(((MIN((I$2),99))/100))+5.0))))*100))/100))*0.96)),(((((MIN(($I$1),99))/100))+5.0)/(1-(((MIN(($I$1),99))/100))+5.0))))*100))/100))*0.96)),(((((MIN(($J$5),99))/100))+5.0)/(1-(((MIN(($J$5),99))/100))+5.0))))*100),0)</f>
        <v/>
      </c>
      <c r="J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(19)/100))*0.96)),(((((MIN((I4),99))/100))+5.0)/(1-(((MIN((I4),99))/100))+5.0))))*100))/100))*0.96)),(((((MIN((H$4),99))/100))+5.0)/(1-(((MIN((H$4),99))/100))+5.0))))*100))/100))*0.96)),(((((MIN(($G$4),99))/100))+5.0)/(1-(((MIN(($G$4),99))/100))+5.0))))*100))/100))*0.96)),(((((MIN(($F4),99))/100))+5.0)/(1-(((MIN(($F4),99))/100))+5.0))))*100))/100))*0.96)),(((((MIN(($E$4),99))/100))+5.0)/(1-(((MIN(($E$4),99))/100))+5.0))))*100))/100))*0.96)),(((((MIN(($D$4),99))/100))+5.0)/(1-(((MIN(($D$4),99))/100))+5.0))))*100))/100))*0.96)),(((((MIN((C$4),99))/100))+5.0)/(1-(((MIN((C$4),99))/100))+5.0))))*100))/100))*0.96)),(((((MIN(($B$4),99))/100))+5.0)/(1-(((MIN(($B$4),99))/100))+5.0))))*100))/100))*0.96)),(((((MIN(($J$3),99))/100))+5.0)/(1-(((MIN(($J$3),99))/100))+5.0))))*100))/100))*0.96)),(((((MIN((J2),99))/100))+5.0)/(1-(((MIN((J2),99))/100))+5.0))))*100))/100))*0.96)),(((((MIN(($J$1),99))/100))+5.0)/(1-(((MIN(($J$1),99))/100))+5.0))))*100))/100))*0.96)),(((((MIN((J$5),99))/100))+5.0)/(1-(((MIN((J$5),99))/100))+5.0))))*100),0)</f>
        <v/>
      </c>
      <c r="K4">
        <f>ROUND(((1-POWER(1-((0.02+(((((1-POWER(1-((0.02+(((((1-POWER(1-((0.02+(((((1-POWER(1-((0.02+(((((1-POWER(1-((0.02+(((((1-POWER(1-((0.02+(((((1-POWER(1-((0.02+(((((1-POWER(1-((0.02+(((((1-POWER(1-((0.02+(((((1-POWER(1-((0.02+(((((1-POWER(1-((0.02+(((93)/100))*0.96)),(((((MIN(($J$4),99))/100))+5.0)/(1-(((MIN(($J$4),99))/100))+5.0))))*100))/100))*0.96)),(((((MIN((I$4),99))/100))+5.0)/(1-(((MIN((I$4),99))/100))+5.0))))*100))/100))*0.96)),(((((MIN((H4),99))/100))+5.0)/(1-(((MIN((H4),99))/100))+5.0))))*100))/100))*0.96)),(((((MIN(($G$4),99))/100))+5.0)/(1-(((MIN(($G$4),99))/100))+5.0))))*100))/100))*0.96)),(((((MIN(($F4),99))/100))+5.0)/(1-(((MIN(($F4),99))/100))+5.0))))*100))/100))*0.96)),(((((MIN((E$4),99))/100))+5.0)/(1-(((MIN((E$4),99))/100))+5.0))))*100))/100))*0.96)),(((((MIN((D$4),99))/100))+5.0)/(1-(((MIN((D$4),99))/100))+5.0))))*100))/100))*0.96)),(((((MIN((C4),99))/100))+5.0)/(1-(((MIN((C4),99))/100))+5.0))))*100))/100))*0.96)),(((((MIN(($K3),99))/100))+5.0)/(1-(((MIN(($K3),99))/100))+5.0))))*100))/100))*0.96)),(((((MIN(($K2),99))/100))+5.0)/(1-(((MIN(($K2),99))/100))+5.0))))*100))/100))*0.96)),(((((MIN(($K$1),99))/100))+5.0)/(1-(((MIN(($K$1),99))/100))+5.0))))*100),0)</f>
        <v/>
      </c>
      <c r="L4">
        <f>ROUND(((1-POWER(1-((0.02+(((((1-POWER(1-((0.02+(((((1-POWER(1-((0.02+(((((1-POWER(1-((0.02+(((((1-POWER(1-((0.02+(((((1-POWER(1-((0.02+(((((1-POWER(1-((0.02+(((((1-POWER(1-((0.02+(((((1-POWER(1-((0.02+(((((1-POWER(1-((0.02+(((((1-POWER(1-((0.02+(((78)/100))*0.96)),(((((MIN((K4),99))/100))+5.0)/(1-(((MIN((K4),99))/100))+5.0))))*100))/100))*0.96)),(((((MIN(($J4),99))/100))+5.0)/(1-(((MIN(($J4),99))/100))+5.0))))*100))/100))*0.96)),(((((MIN((I$4),99))/100))+5.0)/(1-(((MIN((I$4),99))/100))+5.0))))*100))/100))*0.96)),(((((MIN((H4),99))/100))+5.0)/(1-(((MIN((H4),99))/100))+5.0))))*100))/100))*0.96)),(((((MIN((G$4),99))/100))+5.0)/(1-(((MIN((G$4),99))/100))+5.0))))*100))/100))*0.96)),(((((MIN(($F$4),99))/100))+5.0)/(1-(((MIN(($F$4),99))/100))+5.0))))*100))/100))*0.96)),(((((MIN((E4),99))/100))+5.0)/(1-(((MIN((E4),99))/100))+5.0))))*100))/100))*0.96)),(((((MIN((D4),99))/100))+5.0)/(1-(((MIN((D4),99))/100))+5.0))))*100))/100))*0.96)),(((((MIN(($L$3),99))/100))+5.0)/(1-(((MIN(($L$3),99))/100))+5.0))))*100))/100))*0.96)),(((((MIN(($L2),99))/100))+5.0)/(1-(((MIN(($L2),99))/100))+5.0))))*100))/100))*0.96)),(((((MIN((L1),99))/100))+5.0)/(1-(((MIN((L1),99))/100))+5.0))))*100),0)</f>
        <v/>
      </c>
      <c r="M4">
        <f>ROUND(((1-POWER(1-((0.02+(((((1-POWER(1-((0.02+(((((1-POWER(1-((0.02+(((((1-POWER(1-((0.02+(((((1-POWER(1-((0.02+(((((1-POWER(1-((0.02+(((((1-POWER(1-((0.02+(((((1-POWER(1-((0.02+(((((1-POWER(1-((0.02+(((((1-POWER(1-((0.02+(((((1-POWER(1-((0.02+(((29)/100))*0.96)),(((((MIN(($L$4),99))/100))+5.0)/(1-(((MIN(($L$4),99))/100))+5.0))))*100))/100))*0.96)),(((((MIN((K4),99))/100))+5.0)/(1-(((MIN((K4),99))/100))+5.0))))*100))/100))*0.96)),(((((MIN(($J4),99))/100))+5.0)/(1-(((MIN(($J4),99))/100))+5.0))))*100))/100))*0.96)),(((((MIN((I4),99))/100))+5.0)/(1-(((MIN((I4),99))/100))+5.0))))*100))/100))*0.96)),(((((MIN(($H4),99))/100))+5.0)/(1-(((MIN(($H4),99))/100))+5.0))))*100))/100))*0.96)),(((((MIN(($G4),99))/100))+5.0)/(1-(((MIN(($G4),99))/100))+5.0))))*100))/100))*0.96)),(((((MIN(($F4),99))/100))+5.0)/(1-(((MIN(($F4),99))/100))+5.0))))*100))/100))*0.96)),(((((MIN((E4),99))/100))+5.0)/(1-(((MIN((E4),99))/100))+5.0))))*100))/100))*0.96)),(((((MIN(($M$3),99))/100))+5.0)/(1-(((MIN(($M$3),99))/100))+5.0))))*100))/100))*0.96)),(((((MIN(($M2),99))/100))+5.0)/(1-(((MIN(($M2),99))/100))+5.0))))*100))/100))*0.96)),(((((MIN(($M1),99))/100))+5.0)/(1-(((MIN(($M1),99))/100))+5.0))))*100),0)</f>
        <v/>
      </c>
      <c r="N4">
        <f>ROUND(((1-POWER(1-((0.02+(((((1-POWER(1-((0.02+(((((1-POWER(1-((0.02+(((((1-POWER(1-((0.02+(((((1-POWER(1-((0.02+(((((1-POWER(1-((0.02+(((((1-POWER(1-((0.02+(((((1-POWER(1-((0.02+(((((1-POWER(1-((0.02+(((((1-POWER(1-((0.02+(((((1-POWER(1-((0.02+(((94)/100))*0.96)),(((((MIN((M$4),99))/100))+5.0)/(1-(((MIN((M$4),99))/100))+5.0))))*100))/100))*0.96)),(((((MIN(($L$4),99))/100))+5.0)/(1-(((MIN(($L$4),99))/100))+5.0))))*100))/100))*0.96)),(((((MIN((K$4),99))/100))+5.0)/(1-(((MIN((K$4),99))/100))+5.0))))*100))/100))*0.96)),(((((MIN((J$4),99))/100))+5.0)/(1-(((MIN((J$4),99))/100))+5.0))))*100))/100))*0.96)),(((((MIN(($I$4),99))/100))+5.0)/(1-(((MIN(($I$4),99))/100))+5.0))))*100))/100))*0.96)),(((((MIN((H4),99))/100))+5.0)/(1-(((MIN((H4),99))/100))+5.0))))*100))/100))*0.96)),(((((MIN((G$4),99))/100))+5.0)/(1-(((MIN((G$4),99))/100))+5.0))))*100))/100))*0.96)),(((((MIN((F4),99))/100))+5.0)/(1-(((MIN((F4),99))/100))+5.0))))*100))/100))*0.96)),(((((MIN((N3),99))/100))+5.0)/(1-(((MIN((N3),99))/100))+5.0))))*100))/100))*0.96)),(((((MIN((N$2),99))/100))+5.0)/(1-(((MIN((N$2),99))/100))+5.0))))*100))/100))*0.96)),(((((MIN(($N$1),99))/100))+5.0)/(1-(((MIN(($N$1),99))/100))+5.0))))*100),0)</f>
        <v/>
      </c>
      <c r="O4">
        <f>ROUND(((1-POWER(1-((0.02+(((((1-POWER(1-((0.02+(((((1-POWER(1-((0.02+(((((1-POWER(1-((0.02+(((((1-POWER(1-((0.02+(((((1-POWER(1-((0.02+(((((1-POWER(1-((0.02+(((((1-POWER(1-((0.02+(((((1-POWER(1-((0.02+(((((1-POWER(1-((0.02+(((((1-POWER(1-((0.02+(((47)/100))*0.96)),(((((MIN((N4),99))/100))+5.0)/(1-(((MIN((N4),99))/100))+5.0))))*100))/100))*0.96)),(((((MIN(($M4),99))/100))+5.0)/(1-(((MIN(($M4),99))/100))+5.0))))*100))/100))*0.96)),(((((MIN(($L$4),99))/100))+5.0)/(1-(((MIN(($L$4),99))/100))+5.0))))*100))/100))*0.96)),(((((MIN((K$4),99))/100))+5.0)/(1-(((MIN((K$4),99))/100))+5.0))))*100))/100))*0.96)),(((((MIN(($J4),99))/100))+5.0)/(1-(((MIN(($J4),99))/100))+5.0))))*100))/100))*0.96)),(((((MIN(($I$4),99))/100))+5.0)/(1-(((MIN(($I$4),99))/100))+5.0))))*100))/100))*0.96)),(((((MIN((H4),99))/100))+5.0)/(1-(((MIN((H4),99))/100))+5.0))))*100))/100))*0.96)),(((((MIN(($G$4),99))/100))+5.0)/(1-(((MIN(($G$4),99))/100))+5.0))))*100))/100))*0.96)),(((((MIN((O$3),99))/100))+5.0)/(1-(((MIN((O$3),99))/100))+5.0))))*100))/100))*0.96)),(((((MIN(($O$2),99))/100))+5.0)/(1-(((MIN(($O$2),99))/100))+5.0))))*100))/100))*0.96)),(((((MIN((O1),99))/100))+5.0)/(1-(((MIN((O1),99))/100))+5.0))))*100),0)</f>
        <v/>
      </c>
      <c r="P4">
        <f>ROUND(((1-POWER(1-((0.02+(((((1-POWER(1-((0.02+(((((1-POWER(1-((0.02+(((((1-POWER(1-((0.02+(((((1-POWER(1-((0.02+(((((1-POWER(1-((0.02+(((((1-POWER(1-((0.02+(((((1-POWER(1-((0.02+(((((1-POWER(1-((0.02+(((((1-POWER(1-((0.02+(((((1-POWER(1-((0.02+(((73)/100))*0.96)),(((((MIN((O$4),99))/100))+5.0)/(1-(((MIN((O$4),99))/100))+5.0))))*100))/100))*0.96)),(((((MIN(($N4),99))/100))+5.0)/(1-(((MIN(($N4),99))/100))+5.0))))*100))/100))*0.96)),(((((MIN((M4),99))/100))+5.0)/(1-(((MIN((M4),99))/100))+5.0))))*100))/100))*0.96)),(((((MIN(($L$4),99))/100))+5.0)/(1-(((MIN(($L$4),99))/100))+5.0))))*100))/100))*0.96)),(((((MIN(($K4),99))/100))+5.0)/(1-(((MIN(($K4),99))/100))+5.0))))*100))/100))*0.96)),(((((MIN(($J$4),99))/100))+5.0)/(1-(((MIN(($J$4),99))/100))+5.0))))*100))/100))*0.96)),(((((MIN(($I$4),99))/100))+5.0)/(1-(((MIN(($I$4),99))/100))+5.0))))*100))/100))*0.96)),(((((MIN(($H4),99))/100))+5.0)/(1-(((MIN(($H4),99))/100))+5.0))))*100))/100))*0.96)),(((((MIN((P3),99))/100))+5.0)/(1-(((MIN((P3),99))/100))+5.0))))*100))/100))*0.96)),(((((MIN((P2),99))/100))+5.0)/(1-(((MIN((P2),99))/100))+5.0))))*100))/100))*0.96)),(((((MIN((P$1),99))/100))+5.0)/(1-(((MIN((P$1),99))/100))+5.0))))*100),0)</f>
        <v/>
      </c>
      <c r="Q4">
        <f>ROUND(((1-POWER(1-((0.02+(((((1-POWER(1-((0.02+(((((1-POWER(1-((0.02+(((((1-POWER(1-((0.02+(((((1-POWER(1-((0.02+(((((1-POWER(1-((0.02+(((((1-POWER(1-((0.02+(((((1-POWER(1-((0.02+(((((1-POWER(1-((0.02+(((((1-POWER(1-((0.02+(((((1-POWER(1-((0.02+(((63)/100))*0.96)),(((((MIN((P4),99))/100))+5.0)/(1-(((MIN((P4),99))/100))+5.0))))*100))/100))*0.96)),(((((MIN(($O4),99))/100))+5.0)/(1-(((MIN(($O4),99))/100))+5.0))))*100))/100))*0.96)),(((((MIN((N$4),99))/100))+5.0)/(1-(((MIN((N$4),99))/100))+5.0))))*100))/100))*0.96)),(((((MIN((M4),99))/100))+5.0)/(1-(((MIN((M4),99))/100))+5.0))))*100))/100))*0.96)),(((((MIN((L4),99))/100))+5.0)/(1-(((MIN((L4),99))/100))+5.0))))*100))/100))*0.96)),(((((MIN((K$4),99))/100))+5.0)/(1-(((MIN((K$4),99))/100))+5.0))))*100))/100))*0.96)),(((((MIN(($J$4),99))/100))+5.0)/(1-(((MIN(($J$4),99))/100))+5.0))))*100))/100))*0.96)),(((((MIN(($I$4),99))/100))+5.0)/(1-(((MIN(($I$4),99))/100))+5.0))))*100))/100))*0.96)),(((((MIN(($Q$3),99))/100))+5.0)/(1-(((MIN(($Q$3),99))/100))+5.0))))*100))/100))*0.96)),(((((MIN(($Q$2),99))/100))+5.0)/(1-(((MIN(($Q$2),99))/100))+5.0))))*100))/100))*0.96)),(((((MIN((Q$1),99))/100))+5.0)/(1-(((MIN((Q$1),99))/100))+5.0))))*100),0)</f>
        <v/>
      </c>
      <c r="R4">
        <f>ROUND(((1-POWER(1-((0.02+(((((1-POWER(1-((0.02+(((((1-POWER(1-((0.02+(((((1-POWER(1-((0.02+(((((1-POWER(1-((0.02+(((((1-POWER(1-((0.02+(((((1-POWER(1-((0.02+(((((1-POWER(1-((0.02+(((((1-POWER(1-((0.02+(((((1-POWER(1-((0.02+(((((1-POWER(1-((0.02+(((41)/100))*0.96)),(((((MIN((Q$4),99))/100))+5.0)/(1-(((MIN((Q$4),99))/100))+5.0))))*100))/100))*0.96)),(((((MIN(($P$4),99))/100))+5.0)/(1-(((MIN(($P$4),99))/100))+5.0))))*100))/100))*0.96)),(((((MIN((O4),99))/100))+5.0)/(1-(((MIN((O4),99))/100))+5.0))))*100))/100))*0.96)),(((((MIN(($N4),99))/100))+5.0)/(1-(((MIN(($N4),99))/100))+5.0))))*100))/100))*0.96)),(((((MIN(($M$4),99))/100))+5.0)/(1-(((MIN(($M$4),99))/100))+5.0))))*100))/100))*0.96)),(((((MIN((L$4),99))/100))+5.0)/(1-(((MIN((L$4),99))/100))+5.0))))*100))/100))*0.96)),(((((MIN((K$4),99))/100))+5.0)/(1-(((MIN((K$4),99))/100))+5.0))))*100))/100))*0.96)),(((((MIN((J4),99))/100))+5.0)/(1-(((MIN((J4),99))/100))+5.0))))*100))/100))*0.96)),(((((MIN(($R3),99))/100))+5.0)/(1-(((MIN(($R3),99))/100))+5.0))))*100))/100))*0.96)),(((((MIN(($R$2),99))/100))+5.0)/(1-(((MIN(($R$2),99))/100))+5.0))))*100))/100))*0.96)),(((((MIN((R1),99))/100))+5.0)/(1-(((MIN((R1),99))/100))+5.0))))*100),0)</f>
        <v/>
      </c>
      <c r="S4">
        <f>ROUND(((1-POWER(1-((0.02+(((((1-POWER(1-((0.02+(((((1-POWER(1-((0.02+(((((1-POWER(1-((0.02+(((((1-POWER(1-((0.02+(((((1-POWER(1-((0.02+(((((1-POWER(1-((0.02+(((((1-POWER(1-((0.02+(((((1-POWER(1-((0.02+(((((1-POWER(1-((0.02+(((((1-POWER(1-((0.02+(((16)/100))*0.96)),(((((MIN(($R$4),99))/100))+5.0)/(1-(((MIN(($R$4),99))/100))+5.0))))*100))/100))*0.96)),(((((MIN((Q$4),99))/100))+5.0)/(1-(((MIN((Q$4),99))/100))+5.0))))*100))/100))*0.96)),(((((MIN(($P4),99))/100))+5.0)/(1-(((MIN(($P4),99))/100))+5.0))))*100))/100))*0.96)),(((((MIN(($O$4),99))/100))+5.0)/(1-(((MIN(($O$4),99))/100))+5.0))))*100))/100))*0.96)),(((((MIN((N$4),99))/100))+5.0)/(1-(((MIN((N$4),99))/100))+5.0))))*100))/100))*0.96)),(((((MIN((M$4),99))/100))+5.0)/(1-(((MIN((M$4),99))/100))+5.0))))*100))/100))*0.96)),(((((MIN(($L4),99))/100))+5.0)/(1-(((MIN(($L4),99))/100))+5.0))))*100))/100))*0.96)),(((((MIN((K4),99))/100))+5.0)/(1-(((MIN((K4),99))/100))+5.0))))*100))/100))*0.96)),(((((MIN(($S3),99))/100))+5.0)/(1-(((MIN(($S3),99))/100))+5.0))))*100))/100))*0.96)),(((((MIN(($S$2),99))/100))+5.0)/(1-(((MIN(($S$2),99))/100))+5.0))))*100))/100))*0.96)),(((((MIN((S$1),99))/100))+5.0)/(1-(((MIN((S$1),99))/100))+5.0))))*100),0)</f>
        <v/>
      </c>
      <c r="T4">
        <f>ROUND(((1-POWER(1-((0.02+(((((1-POWER(1-((0.02+(((((1-POWER(1-((0.02+(((((1-POWER(1-((0.02+(((((1-POWER(1-((0.02+(((((1-POWER(1-((0.02+(((((1-POWER(1-((0.02+(((((1-POWER(1-((0.02+(((((1-POWER(1-((0.02+(((((1-POWER(1-((0.02+(((((1-POWER(1-((0.02+(((79)/100))*0.96)),(((((MIN(($S4),99))/100))+5.0)/(1-(((MIN(($S4),99))/100))+5.0))))*100))/100))*0.96)),(((((MIN((R4),99))/100))+5.0)/(1-(((MIN((R4),99))/100))+5.0))))*100))/100))*0.96)),(((((MIN(($Q$4),99))/100))+5.0)/(1-(((MIN(($Q$4),99))/100))+5.0))))*100))/100))*0.96)),(((((MIN((P$4),99))/100))+5.0)/(1-(((MIN((P$4),99))/100))+5.0))))*100))/100))*0.96)),(((((MIN(($O4),99))/100))+5.0)/(1-(((MIN(($O4),99))/100))+5.0))))*100))/100))*0.96)),(((((MIN((N4),99))/100))+5.0)/(1-(((MIN((N4),99))/100))+5.0))))*100))/100))*0.96)),(((((MIN(($M4),99))/100))+5.0)/(1-(((MIN(($M4),99))/100))+5.0))))*100))/100))*0.96)),(((((MIN(($L$4),99))/100))+5.0)/(1-(((MIN(($L$4),99))/100))+5.0))))*100))/100))*0.96)),(((((MIN(($T3),99))/100))+5.0)/(1-(((MIN(($T3),99))/100))+5.0))))*100))/100))*0.96)),(((((MIN(($T2),99))/100))+5.0)/(1-(((MIN(($T2),99))/100))+5.0))))*100))/100))*0.96)),(((((MIN(($T1),99))/100))+5.0)/(1-(((MIN(($T1),99))/100))+5.0))))*100),0)</f>
        <v/>
      </c>
    </row>
    <row r="5">
      <c r="A5">
        <f>ROUND(((1-POWER(1-((0.02+(((((1-POWER(1-((0.02+(((((1-POWER(1-((0.02+(((((1-POWER(1-((0.02+(((88)/100))*0.96)),(((((MIN(($A4),99))/100))+5.0)/(1-(((MIN(($A4),99))/100))+5.0))))*100))/100))*0.96)),(((((MIN(($A3),99))/100))+5.0)/(1-(((MIN(($A3),99))/100))+5.0))))*100))/100))*0.96)),(((((MIN((A$2),99))/100))+5.0)/(1-(((MIN((A$2),99))/100))+5.0))))*100))/100))*0.96)),(((((MIN((A$1),99))/100))+5.0)/(1-(((MIN((A$1),99))/100))+5.0))))*100),0)</f>
        <v/>
      </c>
      <c r="B5">
        <f>ROUND(((1-POWER(1-((0.02+(((((1-POWER(1-((0.02+(((((1-POWER(1-((0.02+(((((1-POWER(1-((0.02+(((((1-POWER(1-((0.02+(((92)/100))*0.96)),(((((MIN(($A$5),99))/100))+5.0)/(1-(((MIN(($A$5),99))/100))+5.0))))*100))/100))*0.96)),(((((MIN((B$4),99))/100))+5.0)/(1-(((MIN((B$4),99))/100))+5.0))))*100))/100))*0.96)),(((((MIN(($B3),99))/100))+5.0)/(1-(((MIN(($B3),99))/100))+5.0))))*100))/100))*0.96)),(((((MIN(($B2),99))/100))+5.0)/(1-(((MIN(($B2),99))/100))+5.0))))*100))/100))*0.96)),(((((MIN(($B1),99))/100))+5.0)/(1-(((MIN(($B1),99))/100))+5.0))))*100),0)</f>
        <v/>
      </c>
      <c r="C5">
        <f>ROUND(((1-POWER(1-((0.02+(((((1-POWER(1-((0.02+(((((1-POWER(1-((0.02+(((((1-POWER(1-((0.02+(((((1-POWER(1-((0.02+(((((1-POWER(1-((0.02+(((56)/100))*0.96)),(((((MIN((B5),99))/100))+5.0)/(1-(((MIN((B5),99))/100))+5.0))))*100))/100))*0.96)),(((((MIN((A5),99))/100))+5.0)/(1-(((MIN((A5),99))/100))+5.0))))*100))/100))*0.96)),(((((MIN((C$4),99))/100))+5.0)/(1-(((MIN((C$4),99))/100))+5.0))))*100))/100))*0.96)),(((((MIN(($C$3),99))/100))+5.0)/(1-(((MIN(($C$3),99))/100))+5.0))))*100))/100))*0.96)),(((((MIN((C2),99))/100))+5.0)/(1-(((MIN((C2),99))/100))+5.0))))*100))/100))*0.96)),(((((MIN(($C$1),99))/100))+5.0)/(1-(((MIN(($C$1),99))/100))+5.0))))*100),0)</f>
        <v/>
      </c>
      <c r="D5">
        <f>ROUND(((1-POWER(1-((0.02+(((((1-POWER(1-((0.02+(((((1-POWER(1-((0.02+(((((1-POWER(1-((0.02+(((((1-POWER(1-((0.02+(((((1-POWER(1-((0.02+(((((1-POWER(1-((0.02+(((32)/100))*0.96)),(((((MIN((C5),99))/100))+5.0)/(1-(((MIN((C5),99))/100))+5.0))))*100))/100))*0.96)),(((((MIN(($B$5),99))/100))+5.0)/(1-(((MIN(($B$5),99))/100))+5.0))))*100))/100))*0.96)),(((((MIN(($A$5),99))/100))+5.0)/(1-(((MIN(($A$5),99))/100))+5.0))))*100))/100))*0.96)),(((((MIN((D4),99))/100))+5.0)/(1-(((MIN((D4),99))/100))+5.0))))*100))/100))*0.96)),(((((MIN((D3),99))/100))+5.0)/(1-(((MIN((D3),99))/100))+5.0))))*100))/100))*0.96)),(((((MIN(($D$2),99))/100))+5.0)/(1-(((MIN(($D$2),99))/100))+5.0))))*100))/100))*0.96)),(((((MIN((D$1),99))/100))+5.0)/(1-(((MIN((D$1),99))/100))+5.0))))*100),0)</f>
        <v/>
      </c>
      <c r="E5">
        <f>ROUND(((1-POWER(1-((0.02+(((((1-POWER(1-((0.02+(((((1-POWER(1-((0.02+(((((1-POWER(1-((0.02+(((((1-POWER(1-((0.02+(((((1-POWER(1-((0.02+(((((1-POWER(1-((0.02+(((((1-POWER(1-((0.02+(((64)/100))*0.96)),(((((MIN((D5),99))/100))+5.0)/(1-(((MIN((D5),99))/100))+5.0))))*100))/100))*0.96)),(((((MIN(($C5),99))/100))+5.0)/(1-(((MIN(($C5),99))/100))+5.0))))*100))/100))*0.96)),(((((MIN(($B$5),99))/100))+5.0)/(1-(((MIN(($B$5),99))/100))+5.0))))*100))/100))*0.96)),(((((MIN(($A5),99))/100))+5.0)/(1-(((MIN(($A5),99))/100))+5.0))))*100))/100))*0.96)),(((((MIN(($E4),99))/100))+5.0)/(1-(((MIN(($E4),99))/100))+5.0))))*100))/100))*0.96)),(((((MIN(($E3),99))/100))+5.0)/(1-(((MIN(($E3),99))/100))+5.0))))*100))/100))*0.96)),(((((MIN((E$2),99))/100))+5.0)/(1-(((MIN((E$2),99))/100))+5.0))))*100))/100))*0.96)),(((((MIN((E$1),99))/100))+5.0)/(1-(((MIN((E$1),99))/100))+5.0))))*100),0)</f>
        <v/>
      </c>
      <c r="F5">
        <f>ROUND(((1-POWER(1-((0.02+(((((1-POWER(1-((0.02+(((((1-POWER(1-((0.02+(((((1-POWER(1-((0.02+(((((1-POWER(1-((0.02+(((((1-POWER(1-((0.02+(((((1-POWER(1-((0.02+(((((1-POWER(1-((0.02+(((((1-POWER(1-((0.02+(((38)/100))*0.96)),(((((MIN(($E$5),99))/100))+5.0)/(1-(((MIN(($E$5),99))/100))+5.0))))*100))/100))*0.96)),(((((MIN((D5),99))/100))+5.0)/(1-(((MIN((D5),99))/100))+5.0))))*100))/100))*0.96)),(((((MIN((C5),99))/100))+5.0)/(1-(((MIN((C5),99))/100))+5.0))))*100))/100))*0.96)),(((((MIN(($B$5),99))/100))+5.0)/(1-(((MIN(($B$5),99))/100))+5.0))))*100))/100))*0.96)),(((((MIN(($A$5),99))/100))+5.0)/(1-(((MIN(($A$5),99))/100))+5.0))))*100))/100))*0.96)),(((((MIN(($F$4),99))/100))+5.0)/(1-(((MIN(($F$4),99))/100))+5.0))))*100))/100))*0.96)),(((((MIN(($F$3),99))/100))+5.0)/(1-(((MIN(($F$3),99))/100))+5.0))))*100))/100))*0.96)),(((((MIN(($F2),99))/100))+5.0)/(1-(((MIN(($F2),99))/100))+5.0))))*100))/100))*0.96)),(((((MIN((F$1),99))/100))+5.0)/(1-(((MIN((F$1),99))/100))+5.0))))*100),0)</f>
        <v/>
      </c>
      <c r="G5">
        <f>ROUND(((1-POWER(1-((0.02+(((((1-POWER(1-((0.02+(((((1-POWER(1-((0.02+(((((1-POWER(1-((0.02+(((((1-POWER(1-((0.02+(((((1-POWER(1-((0.02+(((((1-POWER(1-((0.02+(((((1-POWER(1-((0.02+(((((1-POWER(1-((0.02+(((((1-POWER(1-((0.02+(((94)/100))*0.96)),(((((MIN(($F$5),99))/100))+5.0)/(1-(((MIN(($F$5),99))/100))+5.0))))*100))/100))*0.96)),(((((MIN(($E5),99))/100))+5.0)/(1-(((MIN(($E5),99))/100))+5.0))))*100))/100))*0.96)),(((((MIN(($D$5),99))/100))+5.0)/(1-(((MIN(($D$5),99))/100))+5.0))))*100))/100))*0.96)),(((((MIN(($C$5),99))/100))+5.0)/(1-(((MIN(($C$5),99))/100))+5.0))))*100))/100))*0.96)),(((((MIN(($B5),99))/100))+5.0)/(1-(((MIN(($B5),99))/100))+5.0))))*100))/100))*0.96)),(((((MIN(($A$5),99))/100))+5.0)/(1-(((MIN(($A$5),99))/100))+5.0))))*100))/100))*0.96)),(((((MIN((G$4),99))/100))+5.0)/(1-(((MIN((G$4),99))/100))+5.0))))*100))/100))*0.96)),(((((MIN(($G3),99))/100))+5.0)/(1-(((MIN(($G3),99))/100))+5.0))))*100))/100))*0.96)),(((((MIN(($G2),99))/100))+5.0)/(1-(((MIN(($G2),99))/100))+5.0))))*100))/100))*0.96)),(((((MIN((G1),99))/100))+5.0)/(1-(((MIN((G1),99))/100))+5.0))))*100),0)</f>
        <v/>
      </c>
      <c r="H5">
        <f>ROUND(((1-POWER(1-((0.02+(((((1-POWER(1-((0.02+(((((1-POWER(1-((0.02+(((((1-POWER(1-((0.02+(((((1-POWER(1-((0.02+(((((1-POWER(1-((0.02+(((((1-POWER(1-((0.02+(((((1-POWER(1-((0.02+(((((1-POWER(1-((0.02+(((((1-POWER(1-((0.02+(((((1-POWER(1-((0.02+(((80)/100))*0.96)),(((((MIN(($G$5),99))/100))+5.0)/(1-(((MIN(($G$5),99))/100))+5.0))))*100))/100))*0.96)),(((((MIN(($F$5),99))/100))+5.0)/(1-(((MIN(($F$5),99))/100))+5.0))))*100))/100))*0.96)),(((((MIN(($E$5),99))/100))+5.0)/(1-(((MIN(($E$5),99))/100))+5.0))))*100))/100))*0.96)),(((((MIN(($D5),99))/100))+5.0)/(1-(((MIN(($D5),99))/100))+5.0))))*100))/100))*0.96)),(((((MIN((C5),99))/100))+5.0)/(1-(((MIN((C5),99))/100))+5.0))))*100))/100))*0.96)),(((((MIN(($B$5),99))/100))+5.0)/(1-(((MIN(($B$5),99))/100))+5.0))))*100))/100))*0.96)),(((((MIN((A$5),99))/100))+5.0)/(1-(((MIN((A$5),99))/100))+5.0))))*100))/100))*0.96)),(((((MIN((H$4),99))/100))+5.0)/(1-(((MIN((H$4),99))/100))+5.0))))*100))/100))*0.96)),(((((MIN((H$3),99))/100))+5.0)/(1-(((MIN((H$3),99))/100))+5.0))))*100))/100))*0.96)),(((((MIN((H2),99))/100))+5.0)/(1-(((MIN((H2),99))/100))+5.0))))*100))/100))*0.96)),(((((MIN(($H$1),99))/100))+5.0)/(1-(((MIN(($H$1),99))/100))+5.0))))*100),0)</f>
        <v/>
      </c>
      <c r="I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(94)/100))*0.96)),(((((MIN((H5),99))/100))+5.0)/(1-(((MIN((H5),99))/100))+5.0))))*100))/100))*0.96)),(((((MIN(($G$5),99))/100))+5.0)/(1-(((MIN(($G$5),99))/100))+5.0))))*100))/100))*0.96)),(((((MIN(($F5),99))/100))+5.0)/(1-(((MIN(($F5),99))/100))+5.0))))*100))/100))*0.96)),(((((MIN(($E$5),99))/100))+5.0)/(1-(((MIN(($E$5),99))/100))+5.0))))*100))/100))*0.96)),(((((MIN(($D5),99))/100))+5.0)/(1-(((MIN(($D5),99))/100))+5.0))))*100))/100))*0.96)),(((((MIN((C5),99))/100))+5.0)/(1-(((MIN((C5),99))/100))+5.0))))*100))/100))*0.96)),(((((MIN(($B5),99))/100))+5.0)/(1-(((MIN(($B5),99))/100))+5.0))))*100))/100))*0.96)),(((((MIN(($A5),99))/100))+5.0)/(1-(((MIN(($A5),99))/100))+5.0))))*100))/100))*0.96)),(((((MIN((I4),99))/100))+5.0)/(1-(((MIN((I4),99))/100))+5.0))))*100))/100))*0.96)),(((((MIN((I$3),99))/100))+5.0)/(1-(((MIN((I$3),99))/100))+5.0))))*100))/100))*0.96)),(((((MIN((I$2),99))/100))+5.0)/(1-(((MIN((I$2),99))/100))+5.0))))*100))/100))*0.96)),(((((MIN(($I$1),99))/100))+5.0)/(1-(((MIN(($I$1),99))/100))+5.0))))*100))/100))*0.96)),(((((MIN((J$5),99))/100))+5.0)/(1-(((MIN((J$5),99))/100))+5.0))))*100),0)</f>
        <v/>
      </c>
      <c r="J5" t="n">
        <v>67</v>
      </c>
      <c r="K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(81)/100))*0.96)),(((((MIN((J$5),99))/100))+5.0)/(1-(((MIN((J$5),99))/100))+5.0))))*100))/100))*0.96)),(((((MIN((I5),99))/100))+5.0)/(1-(((MIN((I5),99))/100))+5.0))))*100))/100))*0.96)),(((((MIN((H5),99))/100))+5.0)/(1-(((MIN((H5),99))/100))+5.0))))*100))/100))*0.96)),(((((MIN((G5),99))/100))+5.0)/(1-(((MIN((G5),99))/100))+5.0))))*100))/100))*0.96)),(((((MIN((F$5),99))/100))+5.0)/(1-(((MIN((F$5),99))/100))+5.0))))*100))/100))*0.96)),(((((MIN(($E5),99))/100))+5.0)/(1-(((MIN(($E5),99))/100))+5.0))))*100))/100))*0.96)),(((((MIN((D5),99))/100))+5.0)/(1-(((MIN((D5),99))/100))+5.0))))*100))/100))*0.96)),(((((MIN((C$5),99))/100))+5.0)/(1-(((MIN((C$5),99))/100))+5.0))))*100))/100))*0.96)),(((((MIN((K$4),99))/100))+5.0)/(1-(((MIN((K$4),99))/100))+5.0))))*100))/100))*0.96)),(((((MIN(($K$3),99))/100))+5.0)/(1-(((MIN(($K$3),99))/100))+5.0))))*100))/100))*0.96)),(((((MIN(($K$2),99))/100))+5.0)/(1-(((MIN(($K$2),99))/100))+5.0))))*100))/100))*0.96)),(((((MIN((K$1),99))/100))+5.0)/(1-(((MIN((K$1),99))/100))+5.0))))*100))/100))*0.96)),(((((MIN((L6),99))/100))+5.0)/(1-(((MIN((L6),99))/100))+5.0))))*100),0)</f>
        <v/>
      </c>
      <c r="L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(46)/100))*0.96)),(((((MIN(($K$5),99))/100))+5.0)/(1-(((MIN(($K$5),99))/100))+5.0))))*100))/100))*0.96)),(((((MIN(($J5),99))/100))+5.0)/(1-(((MIN(($J5),99))/100))+5.0))))*100))/100))*0.96)),(((((MIN((I5),99))/100))+5.0)/(1-(((MIN((I5),99))/100))+5.0))))*100))/100))*0.96)),(((((MIN(($H$5),99))/100))+5.0)/(1-(((MIN(($H$5),99))/100))+5.0))))*100))/100))*0.96)),(((((MIN(($G$5),99))/100))+5.0)/(1-(((MIN(($G$5),99))/100))+5.0))))*100))/100))*0.96)),(((((MIN(($F$5),99))/100))+5.0)/(1-(((MIN(($F$5),99))/100))+5.0))))*100))/100))*0.96)),(((((MIN((E5),99))/100))+5.0)/(1-(((MIN((E5),99))/100))+5.0))))*100))/100))*0.96)),(((((MIN(($D5),99))/100))+5.0)/(1-(((MIN(($D5),99))/100))+5.0))))*100))/100))*0.96)),(((((MIN((L4),99))/100))+5.0)/(1-(((MIN((L4),99))/100))+5.0))))*100))/100))*0.96)),(((((MIN((L$3),99))/100))+5.0)/(1-(((MIN((L$3),99))/100))+5.0))))*100))/100))*0.96)),(((((MIN((L$2),99))/100))+5.0)/(1-(((MIN((L$2),99))/100))+5.0))))*100))/100))*0.96)),(((((MIN(($L1),99))/100))+5.0)/(1-(((MIN(($L1),99))/100))+5.0))))*100))/100))*0.96)),(((((MIN(($L$6),99))/100))+5.0)/(1-(((MIN(($L$6),99))/100))+5.0))))*100),0)</f>
        <v/>
      </c>
      <c r="M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(35)/100))*0.96)),(((((MIN((L5),99))/100))+5.0)/(1-(((MIN((L5),99))/100))+5.0))))*100))/100))*0.96)),(((((MIN(($K5),99))/100))+5.0)/(1-(((MIN(($K5),99))/100))+5.0))))*100))/100))*0.96)),(((((MIN(($J5),99))/100))+5.0)/(1-(((MIN(($J5),99))/100))+5.0))))*100))/100))*0.96)),(((((MIN(($I5),99))/100))+5.0)/(1-(((MIN(($I5),99))/100))+5.0))))*100))/100))*0.96)),(((((MIN(($H$5),99))/100))+5.0)/(1-(((MIN(($H$5),99))/100))+5.0))))*100))/100))*0.96)),(((((MIN((G5),99))/100))+5.0)/(1-(((MIN((G5),99))/100))+5.0))))*100))/100))*0.96)),(((((MIN((F$5),99))/100))+5.0)/(1-(((MIN((F$5),99))/100))+5.0))))*100))/100))*0.96)),(((((MIN((E5),99))/100))+5.0)/(1-(((MIN((E5),99))/100))+5.0))))*100))/100))*0.96)),(((((MIN((M$4),99))/100))+5.0)/(1-(((MIN((M$4),99))/100))+5.0))))*100))/100))*0.96)),(((((MIN((M3),99))/100))+5.0)/(1-(((MIN((M3),99))/100))+5.0))))*100))/100))*0.96)),(((((MIN((M$2),99))/100))+5.0)/(1-(((MIN((M$2),99))/100))+5.0))))*100))/100))*0.96)),(((((MIN((M1),99))/100))+5.0)/(1-(((MIN((M1),99))/100))+5.0))))*100),0)</f>
        <v/>
      </c>
      <c r="N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(8)/100))*0.96)),(((((MIN(($M5),99))/100))+5.0)/(1-(((MIN(($M5),99))/100))+5.0))))*100))/100))*0.96)),(((((MIN((L5),99))/100))+5.0)/(1-(((MIN((L5),99))/100))+5.0))))*100))/100))*0.96)),(((((MIN(($K$5),99))/100))+5.0)/(1-(((MIN(($K$5),99))/100))+5.0))))*100))/100))*0.96)),(((((MIN(($J5),99))/100))+5.0)/(1-(((MIN(($J5),99))/100))+5.0))))*100))/100))*0.96)),(((((MIN(($I5),99))/100))+5.0)/(1-(((MIN(($I5),99))/100))+5.0))))*100))/100))*0.96)),(((((MIN((H$5),99))/100))+5.0)/(1-(((MIN((H$5),99))/100))+5.0))))*100))/100))*0.96)),(((((MIN(($G$5),99))/100))+5.0)/(1-(((MIN(($G$5),99))/100))+5.0))))*100))/100))*0.96)),(((((MIN(($F$5),99))/100))+5.0)/(1-(((MIN(($F$5),99))/100))+5.0))))*100))/100))*0.96)),(((((MIN((N4),99))/100))+5.0)/(1-(((MIN((N4),99))/100))+5.0))))*100))/100))*0.96)),(((((MIN((N3),99))/100))+5.0)/(1-(((MIN((N3),99))/100))+5.0))))*100))/100))*0.96)),(((((MIN(($N$2),99))/100))+5.0)/(1-(((MIN(($N$2),99))/100))+5.0))))*100))/100))*0.96)),(((((MIN(($N$1),99))/100))+5.0)/(1-(((MIN(($N$1),99))/100))+5.0))))*100),0)</f>
        <v/>
      </c>
      <c r="O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(19)/100))*0.96)),(((((MIN((N$5),99))/100))+5.0)/(1-(((MIN((N$5),99))/100))+5.0))))*100))/100))*0.96)),(((((MIN(($M$5),99))/100))+5.0)/(1-(((MIN(($M$5),99))/100))+5.0))))*100))/100))*0.96)),(((((MIN(($L$5),99))/100))+5.0)/(1-(((MIN(($L$5),99))/100))+5.0))))*100))/100))*0.96)),(((((MIN(($K5),99))/100))+5.0)/(1-(((MIN(($K5),99))/100))+5.0))))*100))/100))*0.96)),(((((MIN((J5),99))/100))+5.0)/(1-(((MIN((J5),99))/100))+5.0))))*100))/100))*0.96)),(((((MIN((I$5),99))/100))+5.0)/(1-(((MIN((I$5),99))/100))+5.0))))*100))/100))*0.96)),(((((MIN((H$5),99))/100))+5.0)/(1-(((MIN((H$5),99))/100))+5.0))))*100))/100))*0.96)),(((((MIN((G5),99))/100))+5.0)/(1-(((MIN((G5),99))/100))+5.0))))*100))/100))*0.96)),(((((MIN((O4),99))/100))+5.0)/(1-(((MIN((O4),99))/100))+5.0))))*100))/100))*0.96)),(((((MIN(($O$3),99))/100))+5.0)/(1-(((MIN(($O$3),99))/100))+5.0))))*100))/100))*0.96)),(((((MIN(($O2),99))/100))+5.0)/(1-(((MIN(($O2),99))/100))+5.0))))*100))/100))*0.96)),(((((MIN((O1),99))/100))+5.0)/(1-(((MIN((O1),99))/100))+5.0))))*100),0)</f>
        <v/>
      </c>
      <c r="P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(60)/100))*0.96)),(((((MIN(($O$5),99))/100))+5.0)/(1-(((MIN(($O$5),99))/100))+5.0))))*100))/100))*0.96)),(((((MIN((N5),99))/100))+5.0)/(1-(((MIN((N5),99))/100))+5.0))))*100))/100))*0.96)),(((((MIN((M5),99))/100))+5.0)/(1-(((MIN((M5),99))/100))+5.0))))*100))/100))*0.96)),(((((MIN((L$5),99))/100))+5.0)/(1-(((MIN((L$5),99))/100))+5.0))))*100))/100))*0.96)),(((((MIN((K5),99))/100))+5.0)/(1-(((MIN((K5),99))/100))+5.0))))*100))/100))*0.96)),(((((MIN(($J5),99))/100))+5.0)/(1-(((MIN(($J5),99))/100))+5.0))))*100))/100))*0.96)),(((((MIN(($I5),99))/100))+5.0)/(1-(((MIN(($I5),99))/100))+5.0))))*100))/100))*0.96)),(((((MIN((H$5),99))/100))+5.0)/(1-(((MIN((H$5),99))/100))+5.0))))*100))/100))*0.96)),(((((MIN((P4),99))/100))+5.0)/(1-(((MIN((P4),99))/100))+5.0))))*100))/100))*0.96)),(((((MIN(($P3),99))/100))+5.0)/(1-(((MIN(($P3),99))/100))+5.0))))*100))/100))*0.96)),(((((MIN(($P$2),99))/100))+5.0)/(1-(((MIN(($P$2),99))/100))+5.0))))*100))/100))*0.96)),(((((MIN((P$1),99))/100))+5.0)/(1-(((MIN((P$1),99))/100))+5.0))))*100),0)</f>
        <v/>
      </c>
      <c r="Q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(17)/100))*0.96)),(((((MIN(($P5),99))/100))+5.0)/(1-(((MIN(($P5),99))/100))+5.0))))*100))/100))*0.96)),(((((MIN(($O$5),99))/100))+5.0)/(1-(((MIN(($O$5),99))/100))+5.0))))*100))/100))*0.96)),(((((MIN(($N$5),99))/100))+5.0)/(1-(((MIN(($N$5),99))/100))+5.0))))*100))/100))*0.96)),(((((MIN((M5),99))/100))+5.0)/(1-(((MIN((M5),99))/100))+5.0))))*100))/100))*0.96)),(((((MIN((L$5),99))/100))+5.0)/(1-(((MIN((L$5),99))/100))+5.0))))*100))/100))*0.96)),(((((MIN((K$5),99))/100))+5.0)/(1-(((MIN((K$5),99))/100))+5.0))))*100))/100))*0.96)),(((((MIN((J$5),99))/100))+5.0)/(1-(((MIN((J$5),99))/100))+5.0))))*100))/100))*0.96)),(((((MIN((I5),99))/100))+5.0)/(1-(((MIN((I5),99))/100))+5.0))))*100))/100))*0.96)),(((((MIN((Q4),99))/100))+5.0)/(1-(((MIN((Q4),99))/100))+5.0))))*100))/100))*0.96)),(((((MIN(($Q3),99))/100))+5.0)/(1-(((MIN(($Q3),99))/100))+5.0))))*100))/100))*0.96)),(((((MIN((Q2),99))/100))+5.0)/(1-(((MIN((Q2),99))/100))+5.0))))*100))/100))*0.96)),(((((MIN(($Q1),99))/100))+5.0)/(1-(((MIN(($Q1),99))/100))+5.0))))*100),0)</f>
        <v/>
      </c>
      <c r="R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(84)/100))*0.96)),(((((MIN((Q$5),99))/100))+5.0)/(1-(((MIN((Q$5),99))/100))+5.0))))*100))/100))*0.96)),(((((MIN(($P$5),99))/100))+5.0)/(1-(((MIN(($P$5),99))/100))+5.0))))*100))/100))*0.96)),(((((MIN((O$5),99))/100))+5.0)/(1-(((MIN((O$5),99))/100))+5.0))))*100))/100))*0.96)),(((((MIN(($N$5),99))/100))+5.0)/(1-(((MIN(($N$5),99))/100))+5.0))))*100))/100))*0.96)),(((((MIN((M$5),99))/100))+5.0)/(1-(((MIN((M$5),99))/100))+5.0))))*100))/100))*0.96)),(((((MIN(($L5),99))/100))+5.0)/(1-(((MIN(($L5),99))/100))+5.0))))*100))/100))*0.96)),(((((MIN((K5),99))/100))+5.0)/(1-(((MIN((K5),99))/100))+5.0))))*100))/100))*0.96)),(((((MIN((J$5),99))/100))+5.0)/(1-(((MIN((J$5),99))/100))+5.0))))*100))/100))*0.96)),(((((MIN(($R4),99))/100))+5.0)/(1-(((MIN(($R4),99))/100))+5.0))))*100))/100))*0.96)),(((((MIN((R3),99))/100))+5.0)/(1-(((MIN((R3),99))/100))+5.0))))*100))/100))*0.96)),(((((MIN(($R$2),99))/100))+5.0)/(1-(((MIN(($R$2),99))/100))+5.0))))*100))/100))*0.96)),(((((MIN(($R1),99))/100))+5.0)/(1-(((MIN(($R1),99))/100))+5.0))))*100),0)</f>
        <v/>
      </c>
      <c r="S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(54)/100))*0.96)),(((((MIN((R5),99))/100))+5.0)/(1-(((MIN((R5),99))/100))+5.0))))*100))/100))*0.96)),(((((MIN(($Q$5),99))/100))+5.0)/(1-(((MIN(($Q$5),99))/100))+5.0))))*100))/100))*0.96)),(((((MIN(($P5),99))/100))+5.0)/(1-(((MIN(($P5),99))/100))+5.0))))*100))/100))*0.96)),(((((MIN((O5),99))/100))+5.0)/(1-(((MIN((O5),99))/100))+5.0))))*100))/100))*0.96)),(((((MIN(($N$5),99))/100))+5.0)/(1-(((MIN(($N$5),99))/100))+5.0))))*100))/100))*0.96)),(((((MIN((M$5),99))/100))+5.0)/(1-(((MIN((M$5),99))/100))+5.0))))*100))/100))*0.96)),(((((MIN(($L$5),99))/100))+5.0)/(1-(((MIN(($L$5),99))/100))+5.0))))*100))/100))*0.96)),(((((MIN((K5),99))/100))+5.0)/(1-(((MIN((K5),99))/100))+5.0))))*100))/100))*0.96)),(((((MIN(($S$4),99))/100))+5.0)/(1-(((MIN(($S$4),99))/100))+5.0))))*100))/100))*0.96)),(((((MIN((S$3),99))/100))+5.0)/(1-(((MIN((S$3),99))/100))+5.0))))*100))/100))*0.96)),(((((MIN((S2),99))/100))+5.0)/(1-(((MIN((S2),99))/100))+5.0))))*100))/100))*0.96)),(((((MIN(($S$1),99))/100))+5.0)/(1-(((MIN(($S$1),99))/100))+5.0))))*100),0)</f>
        <v/>
      </c>
      <c r="T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(8)/100))*0.96)),(((((MIN(($S5),99))/100))+5.0)/(1-(((MIN(($S5),99))/100))+5.0))))*100))/100))*0.96)),(((((MIN(($R5),99))/100))+5.0)/(1-(((MIN(($R5),99))/100))+5.0))))*100))/100))*0.96)),(((((MIN((Q$5),99))/100))+5.0)/(1-(((MIN((Q$5),99))/100))+5.0))))*100))/100))*0.96)),(((((MIN(($P$5),99))/100))+5.0)/(1-(((MIN(($P$5),99))/100))+5.0))))*100))/100))*0.96)),(((((MIN(($O5),99))/100))+5.0)/(1-(((MIN(($O5),99))/100))+5.0))))*100))/100))*0.96)),(((((MIN((N$5),99))/100))+5.0)/(1-(((MIN((N$5),99))/100))+5.0))))*100))/100))*0.96)),(((((MIN((M$5),99))/100))+5.0)/(1-(((MIN((M$5),99))/100))+5.0))))*100))/100))*0.96)),(((((MIN(($L5),99))/100))+5.0)/(1-(((MIN(($L5),99))/100))+5.0))))*100))/100))*0.96)),(((((MIN(($T$4),99))/100))+5.0)/(1-(((MIN(($T$4),99))/100))+5.0))))*100))/100))*0.96)),(((((MIN(($T3),99))/100))+5.0)/(1-(((MIN(($T3),99))/100))+5.0))))*100))/100))*0.96)),(((((MIN((T$2),99))/100))+5.0)/(1-(((MIN((T$2),99))/100))+5.0))))*100))/100))*0.96)),(((((MIN(($T1),99))/100))+5.0)/(1-(((MIN(($T1),99))/100))+5.0))))*100),0)</f>
        <v/>
      </c>
    </row>
    <row r="6">
      <c r="A6">
        <f>ROUND(((1-POWER(1-((0.02+(((((1-POWER(1-((0.02+(((((1-POWER(1-((0.02+(((((1-POWER(1-((0.02+(((((1-POWER(1-((0.02+(((40)/100))*0.96)),(((((MIN(($A5),99))/100))+5.0)/(1-(((MIN(($A5),99))/100))+5.0))))*100))/100))*0.96)),(((((MIN(($A$4),99))/100))+5.0)/(1-(((MIN(($A$4),99))/100))+5.0))))*100))/100))*0.96)),(((((MIN(($A3),99))/100))+5.0)/(1-(((MIN(($A3),99))/100))+5.0))))*100))/100))*0.96)),(((((MIN(($A2),99))/100))+5.0)/(1-(((MIN(($A2),99))/100))+5.0))))*100))/100))*0.96)),(((((MIN(($A1),99))/100))+5.0)/(1-(((MIN(($A1),99))/100))+5.0))))*100),0)</f>
        <v/>
      </c>
      <c r="B6">
        <f>ROUND(((1-POWER(1-((0.02+(((((1-POWER(1-((0.02+(((((1-POWER(1-((0.02+(((((1-POWER(1-((0.02+(((((1-POWER(1-((0.02+(((((1-POWER(1-((0.02+(((50)/100))*0.96)),(((((MIN(($A$6),99))/100))+5.0)/(1-(((MIN(($A$6),99))/100))+5.0))))*100))/100))*0.96)),(((((MIN(($B5),99))/100))+5.0)/(1-(((MIN(($B5),99))/100))+5.0))))*100))/100))*0.96)),(((((MIN(($B4),99))/100))+5.0)/(1-(((MIN(($B4),99))/100))+5.0))))*100))/100))*0.96)),(((((MIN((B3),99))/100))+5.0)/(1-(((MIN((B3),99))/100))+5.0))))*100))/100))*0.96)),(((((MIN(($B$2),99))/100))+5.0)/(1-(((MIN(($B$2),99))/100))+5.0))))*100))/100))*0.96)),(((((MIN((B$1),99))/100))+5.0)/(1-(((MIN((B$1),99))/100))+5.0))))*100),0)</f>
        <v/>
      </c>
      <c r="C6">
        <f>ROUND(((1-POWER(1-((0.02+(((((1-POWER(1-((0.02+(((((1-POWER(1-((0.02+(((((1-POWER(1-((0.02+(((((1-POWER(1-((0.02+(((((1-POWER(1-((0.02+(((((1-POWER(1-((0.02+(((12)/100))*0.96)),(((((MIN((B$6),99))/100))+5.0)/(1-(((MIN((B$6),99))/100))+5.0))))*100))/100))*0.96)),(((((MIN((A6),99))/100))+5.0)/(1-(((MIN((A6),99))/100))+5.0))))*100))/100))*0.96)),(((((MIN((C$5),99))/100))+5.0)/(1-(((MIN((C$5),99))/100))+5.0))))*100))/100))*0.96)),(((((MIN(($C4),99))/100))+5.0)/(1-(((MIN(($C4),99))/100))+5.0))))*100))/100))*0.96)),(((((MIN(($C$3),99))/100))+5.0)/(1-(((MIN(($C$3),99))/100))+5.0))))*100))/100))*0.96)),(((((MIN(($C$2),99))/100))+5.0)/(1-(((MIN(($C$2),99))/100))+5.0))))*100))/100))*0.96)),(((((MIN(($C$1),99))/100))+5.0)/(1-(((MIN(($C$1),99))/100))+5.0))))*100),0)</f>
        <v/>
      </c>
      <c r="D6">
        <f>ROUND(((1-POWER(1-((0.02+(((((1-POWER(1-((0.02+(((((1-POWER(1-((0.02+(((((1-POWER(1-((0.02+(((((1-POWER(1-((0.02+(((((1-POWER(1-((0.02+(((((1-POWER(1-((0.02+(((((1-POWER(1-((0.02+(((77)/100))*0.96)),(((((MIN((C6),99))/100))+5.0)/(1-(((MIN((C6),99))/100))+5.0))))*100))/100))*0.96)),(((((MIN((B$6),99))/100))+5.0)/(1-(((MIN((B$6),99))/100))+5.0))))*100))/100))*0.96)),(((((MIN(($A$6),99))/100))+5.0)/(1-(((MIN(($A$6),99))/100))+5.0))))*100))/100))*0.96)),(((((MIN(($D$5),99))/100))+5.0)/(1-(((MIN(($D$5),99))/100))+5.0))))*100))/100))*0.96)),(((((MIN(($D$4),99))/100))+5.0)/(1-(((MIN(($D$4),99))/100))+5.0))))*100))/100))*0.96)),(((((MIN(($D3),99))/100))+5.0)/(1-(((MIN(($D3),99))/100))+5.0))))*100))/100))*0.96)),(((((MIN((D2),99))/100))+5.0)/(1-(((MIN((D2),99))/100))+5.0))))*100))/100))*0.96)),(((((MIN(($D$1),99))/100))+5.0)/(1-(((MIN(($D$1),99))/100))+5.0))))*100),0)</f>
        <v/>
      </c>
      <c r="E6">
        <f>ROUND(((1-POWER(1-((0.02+(((((1-POWER(1-((0.02+(((((1-POWER(1-((0.02+(((((1-POWER(1-((0.02+(((((1-POWER(1-((0.02+(((((1-POWER(1-((0.02+(((((1-POWER(1-((0.02+(((((1-POWER(1-((0.02+(((((1-POWER(1-((0.02+(((55)/100))*0.96)),(((((MIN((D6),99))/100))+5.0)/(1-(((MIN((D6),99))/100))+5.0))))*100))/100))*0.96)),(((((MIN((C6),99))/100))+5.0)/(1-(((MIN((C6),99))/100))+5.0))))*100))/100))*0.96)),(((((MIN(($B$6),99))/100))+5.0)/(1-(((MIN(($B$6),99))/100))+5.0))))*100))/100))*0.96)),(((((MIN((A6),99))/100))+5.0)/(1-(((MIN((A6),99))/100))+5.0))))*100))/100))*0.96)),(((((MIN((E$5),99))/100))+5.0)/(1-(((MIN((E$5),99))/100))+5.0))))*100))/100))*0.96)),(((((MIN(($E4),99))/100))+5.0)/(1-(((MIN(($E4),99))/100))+5.0))))*100))/100))*0.96)),(((((MIN((E3),99))/100))+5.0)/(1-(((MIN((E3),99))/100))+5.0))))*100))/100))*0.96)),(((((MIN((E$2),99))/100))+5.0)/(1-(((MIN((E$2),99))/100))+5.0))))*100))/100))*0.96)),(((((MIN((E$1),99))/100))+5.0)/(1-(((MIN((E$1),99))/100))+5.0))))*100),0)</f>
        <v/>
      </c>
      <c r="F6">
        <f>ROUND(((1-POWER(1-((0.02+(((((1-POWER(1-((0.02+(((((1-POWER(1-((0.02+(((((1-POWER(1-((0.02+(((((1-POWER(1-((0.02+(((((1-POWER(1-((0.02+(((((1-POWER(1-((0.02+(((((1-POWER(1-((0.02+(((((1-POWER(1-((0.02+(((((1-POWER(1-((0.02+(((95)/100))*0.96)),(((((MIN((E$6),99))/100))+5.0)/(1-(((MIN((E$6),99))/100))+5.0))))*100))/100))*0.96)),(((((MIN(($D$6),99))/100))+5.0)/(1-(((MIN(($D$6),99))/100))+5.0))))*100))/100))*0.96)),(((((MIN((C6),99))/100))+5.0)/(1-(((MIN((C6),99))/100))+5.0))))*100))/100))*0.96)),(((((MIN(($B$6),99))/100))+5.0)/(1-(((MIN(($B$6),99))/100))+5.0))))*100))/100))*0.96)),(((((MIN((A$6),99))/100))+5.0)/(1-(((MIN((A$6),99))/100))+5.0))))*100))/100))*0.96)),(((((MIN(($F5),99))/100))+5.0)/(1-(((MIN(($F5),99))/100))+5.0))))*100))/100))*0.96)),(((((MIN((F4),99))/100))+5.0)/(1-(((MIN((F4),99))/100))+5.0))))*100))/100))*0.96)),(((((MIN((F3),99))/100))+5.0)/(1-(((MIN((F3),99))/100))+5.0))))*100))/100))*0.96)),(((((MIN((F2),99))/100))+5.0)/(1-(((MIN((F2),99))/100))+5.0))))*100))/100))*0.96)),(((((MIN((F$1),99))/100))+5.0)/(1-(((MIN((F$1),99))/100))+5.0))))*100),0)</f>
        <v/>
      </c>
      <c r="G6">
        <f>ROUND(((1-POWER(1-((0.02+(((((1-POWER(1-((0.02+(((((1-POWER(1-((0.02+(((((1-POWER(1-((0.02+(((((1-POWER(1-((0.02+(((((1-POWER(1-((0.02+(((((1-POWER(1-((0.02+(((((1-POWER(1-((0.02+(((((1-POWER(1-((0.02+(((((1-POWER(1-((0.02+(((((1-POWER(1-((0.02+(((17)/100))*0.96)),(((((MIN(($F$6),99))/100))+5.0)/(1-(((MIN(($F$6),99))/100))+5.0))))*100))/100))*0.96)),(((((MIN((E$6),99))/100))+5.0)/(1-(((MIN((E$6),99))/100))+5.0))))*100))/100))*0.96)),(((((MIN((D$6),99))/100))+5.0)/(1-(((MIN((D$6),99))/100))+5.0))))*100))/100))*0.96)),(((((MIN(($C6),99))/100))+5.0)/(1-(((MIN(($C6),99))/100))+5.0))))*100))/100))*0.96)),(((((MIN(($B$6),99))/100))+5.0)/(1-(((MIN(($B$6),99))/100))+5.0))))*100))/100))*0.96)),(((((MIN(($A6),99))/100))+5.0)/(1-(((MIN(($A6),99))/100))+5.0))))*100))/100))*0.96)),(((((MIN((G$5),99))/100))+5.0)/(1-(((MIN((G$5),99))/100))+5.0))))*100))/100))*0.96)),(((((MIN((G4),99))/100))+5.0)/(1-(((MIN((G4),99))/100))+5.0))))*100))/100))*0.96)),(((((MIN(($G3),99))/100))+5.0)/(1-(((MIN(($G3),99))/100))+5.0))))*100))/100))*0.96)),(((((MIN(($G$2),99))/100))+5.0)/(1-(((MIN(($G$2),99))/100))+5.0))))*100))/100))*0.96)),(((((MIN((G$1),99))/100))+5.0)/(1-(((MIN((G$1),99))/100))+5.0))))*100),0)</f>
        <v/>
      </c>
      <c r="H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(24)/100))*0.96)),(((((MIN(($G$6),99))/100))+5.0)/(1-(((MIN(($G$6),99))/100))+5.0))))*100))/100))*0.96)),(((((MIN((F$6),99))/100))+5.0)/(1-(((MIN((F$6),99))/100))+5.0))))*100))/100))*0.96)),(((((MIN(($E6),99))/100))+5.0)/(1-(((MIN(($E6),99))/100))+5.0))))*100))/100))*0.96)),(((((MIN(($D$6),99))/100))+5.0)/(1-(((MIN(($D$6),99))/100))+5.0))))*100))/100))*0.96)),(((((MIN((C6),99))/100))+5.0)/(1-(((MIN((C6),99))/100))+5.0))))*100))/100))*0.96)),(((((MIN((B$6),99))/100))+5.0)/(1-(((MIN((B$6),99))/100))+5.0))))*100))/100))*0.96)),(((((MIN((A6),99))/100))+5.0)/(1-(((MIN((A6),99))/100))+5.0))))*100))/100))*0.96)),(((((MIN((H$5),99))/100))+5.0)/(1-(((MIN((H$5),99))/100))+5.0))))*100))/100))*0.96)),(((((MIN((H$4),99))/100))+5.0)/(1-(((MIN((H$4),99))/100))+5.0))))*100))/100))*0.96)),(((((MIN(($H3),99))/100))+5.0)/(1-(((MIN(($H3),99))/100))+5.0))))*100))/100))*0.96)),(((((MIN((H$2),99))/100))+5.0)/(1-(((MIN((H$2),99))/100))+5.0))))*100))/100))*0.96)),(((((MIN(($H1),99))/100))+5.0)/(1-(((MIN(($H1),99))/100))+5.0))))*100),0)</f>
        <v/>
      </c>
      <c r="I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(38)/100))*0.96)),(((((MIN((H6),99))/100))+5.0)/(1-(((MIN((H6),99))/100))+5.0))))*100))/100))*0.96)),(((((MIN(($G$6),99))/100))+5.0)/(1-(((MIN(($G$6),99))/100))+5.0))))*100))/100))*0.96)),(((((MIN(($F$6),99))/100))+5.0)/(1-(((MIN(($F$6),99))/100))+5.0))))*100))/100))*0.96)),(((((MIN((E6),99))/100))+5.0)/(1-(((MIN((E6),99))/100))+5.0))))*100))/100))*0.96)),(((((MIN(($D$6),99))/100))+5.0)/(1-(((MIN(($D$6),99))/100))+5.0))))*100))/100))*0.96)),(((((MIN(($C6),99))/100))+5.0)/(1-(((MIN(($C6),99))/100))+5.0))))*100))/100))*0.96)),(((((MIN((B$6),99))/100))+5.0)/(1-(((MIN((B$6),99))/100))+5.0))))*100))/100))*0.96)),(((((MIN(($A6),99))/100))+5.0)/(1-(((MIN(($A6),99))/100))+5.0))))*100))/100))*0.96)),(((((MIN(($I$5),99))/100))+5.0)/(1-(((MIN(($I$5),99))/100))+5.0))))*100))/100))*0.96)),(((((MIN(($I$4),99))/100))+5.0)/(1-(((MIN(($I$4),99))/100))+5.0))))*100))/100))*0.96)),(((((MIN((I$3),99))/100))+5.0)/(1-(((MIN((I$3),99))/100))+5.0))))*100))/100))*0.96)),(((((MIN((I2),99))/100))+5.0)/(1-(((MIN((I2),99))/100))+5.0))))*100))/100))*0.96)),(((((MIN(($I$1),99))/100))+5.0)/(1-(((MIN(($I$1),99))/100))+5.0))))*100),0)</f>
        <v/>
      </c>
      <c r="J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(80)/100))*0.96)),(((((MIN(($I6),99))/100))+5.0)/(1-(((MIN(($I6),99))/100))+5.0))))*100))/100))*0.96)),(((((MIN((H6),99))/100))+5.0)/(1-(((MIN((H6),99))/100))+5.0))))*100))/100))*0.96)),(((((MIN(($G6),99))/100))+5.0)/(1-(((MIN(($G6),99))/100))+5.0))))*100))/100))*0.96)),(((((MIN(($F$6),99))/100))+5.0)/(1-(((MIN(($F$6),99))/100))+5.0))))*100))/100))*0.96)),(((((MIN((E$6),99))/100))+5.0)/(1-(((MIN((E$6),99))/100))+5.0))))*100))/100))*0.96)),(((((MIN(($D$6),99))/100))+5.0)/(1-(((MIN(($D$6),99))/100))+5.0))))*100))/100))*0.96)),(((((MIN((C6),99))/100))+5.0)/(1-(((MIN((C6),99))/100))+5.0))))*100))/100))*0.96)),(((((MIN(($B6),99))/100))+5.0)/(1-(((MIN(($B6),99))/100))+5.0))))*100))/100))*0.96)),(((((MIN(($J$5),99))/100))+5.0)/(1-(((MIN(($J$5),99))/100))+5.0))))*100))/100))*0.96)),(((((MIN(($J4),99))/100))+5.0)/(1-(((MIN(($J4),99))/100))+5.0))))*100))/100))*0.96)),(((((MIN(($J3),99))/100))+5.0)/(1-(((MIN(($J3),99))/100))+5.0))))*100))/100))*0.96)),(((((MIN((J2),99))/100))+5.0)/(1-(((MIN((J2),99))/100))+5.0))))*100))/100))*0.96)),(((((MIN((J1),99))/100))+5.0)/(1-(((MIN((J1),99))/100))+5.0))))*100),0)</f>
        <v/>
      </c>
      <c r="K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(93)/100))*0.96)),(((((MIN((J6),99))/100))+5.0)/(1-(((MIN((J6),99))/100))+5.0))))*100))/100))*0.96)),(((((MIN((I$6),99))/100))+5.0)/(1-(((MIN((I$6),99))/100))+5.0))))*100))/100))*0.96)),(((((MIN((H$6),99))/100))+5.0)/(1-(((MIN((H$6),99))/100))+5.0))))*100))/100))*0.96)),(((((MIN(($G$6),99))/100))+5.0)/(1-(((MIN(($G$6),99))/100))+5.0))))*100))/100))*0.96)),(((((MIN(($F$6),99))/100))+5.0)/(1-(((MIN(($F$6),99))/100))+5.0))))*100))/100))*0.96)),(((((MIN(($E6),99))/100))+5.0)/(1-(((MIN(($E6),99))/100))+5.0))))*100))/100))*0.96)),(((((MIN(($D6),99))/100))+5.0)/(1-(((MIN(($D6),99))/100))+5.0))))*100))/100))*0.96)),(((((MIN(($C6),99))/100))+5.0)/(1-(((MIN(($C6),99))/100))+5.0))))*100))/100))*0.96)),(((((MIN(($K5),99))/100))+5.0)/(1-(((MIN(($K5),99))/100))+5.0))))*100))/100))*0.96)),(((((MIN(($K4),99))/100))+5.0)/(1-(((MIN(($K4),99))/100))+5.0))))*100))/100))*0.96)),(((((MIN((K3),99))/100))+5.0)/(1-(((MIN((K3),99))/100))+5.0))))*100))/100))*0.96)),(((((MIN((K$2),99))/100))+5.0)/(1-(((MIN((K$2),99))/100))+5.0))))*100))/100))*0.96)),(((((MIN(($K1),99))/100))+5.0)/(1-(((MIN(($K1),99))/100))+5.0))))*100))/100))*0.96)),(((((MIN(($L$6),99))/100))+5.0)/(1-(((MIN(($L$6),99))/100))+5.0))))*100),0)</f>
        <v/>
      </c>
      <c r="L6" t="n">
        <v>46</v>
      </c>
      <c r="M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(84)/100))*0.96)),(((((MIN(($L6),99))/100))+5.0)/(1-(((MIN(($L6),99))/100))+5.0))))*100))/100))*0.96)),(((((MIN(($K$6),99))/100))+5.0)/(1-(((MIN(($K$6),99))/100))+5.0))))*100))/100))*0.96)),(((((MIN((J$6),99))/100))+5.0)/(1-(((MIN((J$6),99))/100))+5.0))))*100))/100))*0.96)),(((((MIN(($I6),99))/100))+5.0)/(1-(((MIN(($I6),99))/100))+5.0))))*100))/100))*0.96)),(((((MIN(($H6),99))/100))+5.0)/(1-(((MIN(($H6),99))/100))+5.0))))*100))/100))*0.96)),(((((MIN((G6),99))/100))+5.0)/(1-(((MIN((G6),99))/100))+5.0))))*100))/100))*0.96)),(((((MIN(($F$6),99))/100))+5.0)/(1-(((MIN(($F$6),99))/100))+5.0))))*100))/100))*0.96)),(((((MIN(($E$6),99))/100))+5.0)/(1-(((MIN(($E$6),99))/100))+5.0))))*100))/100))*0.96)),(((((MIN((M5),99))/100))+5.0)/(1-(((MIN((M5),99))/100))+5.0))))*100))/100))*0.96)),(((((MIN(($M4),99))/100))+5.0)/(1-(((MIN(($M4),99))/100))+5.0))))*100))/100))*0.96)),(((((MIN(($M$3),99))/100))+5.0)/(1-(((MIN(($M$3),99))/100))+5.0))))*100))/100))*0.96)),(((((MIN((M$2),99))/100))+5.0)/(1-(((MIN((M$2),99))/100))+5.0))))*100))/100))*0.96)),(((((MIN(($M$1),99))/100))+5.0)/(1-(((MIN(($M$1),99))/100))+5.0))))*100))/100))*0.96)),(((((MIN((N7),99))/100))+5.0)/(1-(((MIN((N7),99))/100))+5.0))))*100),0)</f>
        <v/>
      </c>
      <c r="N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(20)/100))*0.96)),(((((MIN((M$6),99))/100))+5.0)/(1-(((MIN((M$6),99))/100))+5.0))))*100))/100))*0.96)),(((((MIN((L6),99))/100))+5.0)/(1-(((MIN((L6),99))/100))+5.0))))*100))/100))*0.96)),(((((MIN(($K6),99))/100))+5.0)/(1-(((MIN(($K6),99))/100))+5.0))))*100))/100))*0.96)),(((((MIN(($J6),99))/100))+5.0)/(1-(((MIN(($J6),99))/100))+5.0))))*100))/100))*0.96)),(((((MIN((I$6),99))/100))+5.0)/(1-(((MIN((I$6),99))/100))+5.0))))*100))/100))*0.96)),(((((MIN((H6),99))/100))+5.0)/(1-(((MIN((H6),99))/100))+5.0))))*100))/100))*0.96)),(((((MIN(($G$6),99))/100))+5.0)/(1-(((MIN(($G$6),99))/100))+5.0))))*100))/100))*0.96)),(((((MIN((F$6),99))/100))+5.0)/(1-(((MIN((F$6),99))/100))+5.0))))*100))/100))*0.96)),(((((MIN((N$5),99))/100))+5.0)/(1-(((MIN((N$5),99))/100))+5.0))))*100))/100))*0.96)),(((((MIN(($N$4),99))/100))+5.0)/(1-(((MIN(($N$4),99))/100))+5.0))))*100))/100))*0.96)),(((((MIN((N$3),99))/100))+5.0)/(1-(((MIN((N$3),99))/100))+5.0))))*100))/100))*0.96)),(((((MIN((N$2),99))/100))+5.0)/(1-(((MIN((N$2),99))/100))+5.0))))*100))/100))*0.96)),(((((MIN(($N1),99))/100))+5.0)/(1-(((MIN(($N1),99))/100))+5.0))))*100))/100))*0.96)),(((((MIN(($N7),99))/100))+5.0)/(1-(((MIN(($N7),99))/100))+5.0))))*100),0)</f>
        <v/>
      </c>
      <c r="O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(87)/100))*0.96)),(((((MIN((N6),99))/100))+5.0)/(1-(((MIN((N6),99))/100))+5.0))))*100))/100))*0.96)),(((((MIN(($M$6),99))/100))+5.0)/(1-(((MIN(($M$6),99))/100))+5.0))))*100))/100))*0.96)),(((((MIN(($L6),99))/100))+5.0)/(1-(((MIN(($L6),99))/100))+5.0))))*100))/100))*0.96)),(((((MIN(($K$6),99))/100))+5.0)/(1-(((MIN(($K$6),99))/100))+5.0))))*100))/100))*0.96)),(((((MIN((J$6),99))/100))+5.0)/(1-(((MIN((J$6),99))/100))+5.0))))*100))/100))*0.96)),(((((MIN(($I6),99))/100))+5.0)/(1-(((MIN(($I6),99))/100))+5.0))))*100))/100))*0.96)),(((((MIN((H$6),99))/100))+5.0)/(1-(((MIN((H$6),99))/100))+5.0))))*100))/100))*0.96)),(((((MIN(($G6),99))/100))+5.0)/(1-(((MIN(($G6),99))/100))+5.0))))*100))/100))*0.96)),(((((MIN(($O$5),99))/100))+5.0)/(1-(((MIN(($O$5),99))/100))+5.0))))*100))/100))*0.96)),(((((MIN((O$4),99))/100))+5.0)/(1-(((MIN((O$4),99))/100))+5.0))))*100))/100))*0.96)),(((((MIN(($O3),99))/100))+5.0)/(1-(((MIN(($O3),99))/100))+5.0))))*100))/100))*0.96)),(((((MIN((O$2),99))/100))+5.0)/(1-(((MIN((O$2),99))/100))+5.0))))*100))/100))*0.96)),(((((MIN((O1),99))/100))+5.0)/(1-(((MIN((O1),99))/100))+5.0))))*100),0)</f>
        <v/>
      </c>
      <c r="P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(35)/100))*0.96)),(((((MIN(($O6),99))/100))+5.0)/(1-(((MIN(($O6),99))/100))+5.0))))*100))/100))*0.96)),(((((MIN(($N$6),99))/100))+5.0)/(1-(((MIN(($N$6),99))/100))+5.0))))*100))/100))*0.96)),(((((MIN(($M6),99))/100))+5.0)/(1-(((MIN(($M6),99))/100))+5.0))))*100))/100))*0.96)),(((((MIN((L$6),99))/100))+5.0)/(1-(((MIN((L$6),99))/100))+5.0))))*100))/100))*0.96)),(((((MIN(($K$6),99))/100))+5.0)/(1-(((MIN(($K$6),99))/100))+5.0))))*100))/100))*0.96)),(((((MIN((J6),99))/100))+5.0)/(1-(((MIN((J6),99))/100))+5.0))))*100))/100))*0.96)),(((((MIN(($I$6),99))/100))+5.0)/(1-(((MIN(($I$6),99))/100))+5.0))))*100))/100))*0.96)),(((((MIN(($H6),99))/100))+5.0)/(1-(((MIN(($H6),99))/100))+5.0))))*100))/100))*0.96)),(((((MIN(($P5),99))/100))+5.0)/(1-(((MIN(($P5),99))/100))+5.0))))*100))/100))*0.96)),(((((MIN(($P$4),99))/100))+5.0)/(1-(((MIN(($P$4),99))/100))+5.0))))*100))/100))*0.96)),(((((MIN((P3),99))/100))+5.0)/(1-(((MIN((P3),99))/100))+5.0))))*100))/100))*0.96)),(((((MIN((P2),99))/100))+5.0)/(1-(((MIN((P2),99))/100))+5.0))))*100))/100))*0.96)),(((((MIN((P$1),99))/100))+5.0)/(1-(((MIN((P$1),99))/100))+5.0))))*100),0)</f>
        <v/>
      </c>
      <c r="Q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(13)/100))*0.96)),(((((MIN(($P6),99))/100))+5.0)/(1-(((MIN(($P6),99))/100))+5.0))))*100))/100))*0.96)),(((((MIN(($O6),99))/100))+5.0)/(1-(((MIN(($O6),99))/100))+5.0))))*100))/100))*0.96)),(((((MIN(($N6),99))/100))+5.0)/(1-(((MIN(($N6),99))/100))+5.0))))*100))/100))*0.96)),(((((MIN(($M$6),99))/100))+5.0)/(1-(((MIN(($M$6),99))/100))+5.0))))*100))/100))*0.96)),(((((MIN(($L$6),99))/100))+5.0)/(1-(((MIN(($L$6),99))/100))+5.0))))*100))/100))*0.96)),(((((MIN((K6),99))/100))+5.0)/(1-(((MIN((K6),99))/100))+5.0))))*100))/100))*0.96)),(((((MIN(($J$6),99))/100))+5.0)/(1-(((MIN(($J$6),99))/100))+5.0))))*100))/100))*0.96)),(((((MIN((I$6),99))/100))+5.0)/(1-(((MIN((I$6),99))/100))+5.0))))*100))/100))*0.96)),(((((MIN((Q$5),99))/100))+5.0)/(1-(((MIN((Q$5),99))/100))+5.0))))*100))/100))*0.96)),(((((MIN((Q4),99))/100))+5.0)/(1-(((MIN((Q4),99))/100))+5.0))))*100))/100))*0.96)),(((((MIN((Q$3),99))/100))+5.0)/(1-(((MIN((Q$3),99))/100))+5.0))))*100))/100))*0.96)),(((((MIN(($Q$2),99))/100))+5.0)/(1-(((MIN(($Q$2),99))/100))+5.0))))*100))/100))*0.96)),(((((MIN(($Q1),99))/100))+5.0)/(1-(((MIN(($Q1),99))/100))+5.0))))*100),0)</f>
        <v/>
      </c>
      <c r="R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(94)/100))*0.96)),(((((MIN((Q$6),99))/100))+5.0)/(1-(((MIN((Q$6),99))/100))+5.0))))*100))/100))*0.96)),(((((MIN(($P$6),99))/100))+5.0)/(1-(((MIN(($P$6),99))/100))+5.0))))*100))/100))*0.96)),(((((MIN(($O$6),99))/100))+5.0)/(1-(((MIN(($O$6),99))/100))+5.0))))*100))/100))*0.96)),(((((MIN(($N$6),99))/100))+5.0)/(1-(((MIN(($N$6),99))/100))+5.0))))*100))/100))*0.96)),(((((MIN(($M6),99))/100))+5.0)/(1-(((MIN(($M6),99))/100))+5.0))))*100))/100))*0.96)),(((((MIN(($L$6),99))/100))+5.0)/(1-(((MIN(($L$6),99))/100))+5.0))))*100))/100))*0.96)),(((((MIN(($K$6),99))/100))+5.0)/(1-(((MIN(($K$6),99))/100))+5.0))))*100))/100))*0.96)),(((((MIN(($J$6),99))/100))+5.0)/(1-(((MIN(($J$6),99))/100))+5.0))))*100))/100))*0.96)),(((((MIN(($R5),99))/100))+5.0)/(1-(((MIN(($R5),99))/100))+5.0))))*100))/100))*0.96)),(((((MIN(($R$4),99))/100))+5.0)/(1-(((MIN(($R$4),99))/100))+5.0))))*100))/100))*0.96)),(((((MIN(($R3),99))/100))+5.0)/(1-(((MIN(($R3),99))/100))+5.0))))*100))/100))*0.96)),(((((MIN(($R2),99))/100))+5.0)/(1-(((MIN(($R2),99))/100))+5.0))))*100))/100))*0.96)),(((((MIN(($R1),99))/100))+5.0)/(1-(((MIN(($R1),99))/100))+5.0))))*100),0)</f>
        <v/>
      </c>
      <c r="S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(27)/100))*0.96)),(((((MIN(($R6),99))/100))+5.0)/(1-(((MIN(($R6),99))/100))+5.0))))*100))/100))*0.96)),(((((MIN((Q6),99))/100))+5.0)/(1-(((MIN((Q6),99))/100))+5.0))))*100))/100))*0.96)),(((((MIN(($P$6),99))/100))+5.0)/(1-(((MIN(($P$6),99))/100))+5.0))))*100))/100))*0.96)),(((((MIN((O$6),99))/100))+5.0)/(1-(((MIN((O$6),99))/100))+5.0))))*100))/100))*0.96)),(((((MIN((N6),99))/100))+5.0)/(1-(((MIN((N6),99))/100))+5.0))))*100))/100))*0.96)),(((((MIN((M6),99))/100))+5.0)/(1-(((MIN((M6),99))/100))+5.0))))*100))/100))*0.96)),(((((MIN(($L6),99))/100))+5.0)/(1-(((MIN(($L6),99))/100))+5.0))))*100))/100))*0.96)),(((((MIN(($K$6),99))/100))+5.0)/(1-(((MIN(($K$6),99))/100))+5.0))))*100))/100))*0.96)),(((((MIN(($S$5),99))/100))+5.0)/(1-(((MIN(($S$5),99))/100))+5.0))))*100))/100))*0.96)),(((((MIN((S4),99))/100))+5.0)/(1-(((MIN((S4),99))/100))+5.0))))*100))/100))*0.96)),(((((MIN(($S$3),99))/100))+5.0)/(1-(((MIN(($S$3),99))/100))+5.0))))*100))/100))*0.96)),(((((MIN((S2),99))/100))+5.0)/(1-(((MIN((S2),99))/100))+5.0))))*100))/100))*0.96)),(((((MIN(($S$1),99))/100))+5.0)/(1-(((MIN(($S$1),99))/100))+5.0))))*100),0)</f>
        <v/>
      </c>
      <c r="T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(18)/100))*0.96)),(((((MIN(($S6),99))/100))+5.0)/(1-(((MIN(($S6),99))/100))+5.0))))*100))/100))*0.96)),(((((MIN(($R$6),99))/100))+5.0)/(1-(((MIN(($R$6),99))/100))+5.0))))*100))/100))*0.96)),(((((MIN((Q$6),99))/100))+5.0)/(1-(((MIN((Q$6),99))/100))+5.0))))*100))/100))*0.96)),(((((MIN(($P6),99))/100))+5.0)/(1-(((MIN(($P6),99))/100))+5.0))))*100))/100))*0.96)),(((((MIN((O$6),99))/100))+5.0)/(1-(((MIN((O$6),99))/100))+5.0))))*100))/100))*0.96)),(((((MIN((N6),99))/100))+5.0)/(1-(((MIN((N6),99))/100))+5.0))))*100))/100))*0.96)),(((((MIN(($M$6),99))/100))+5.0)/(1-(((MIN(($M$6),99))/100))+5.0))))*100))/100))*0.96)),(((((MIN(($L$6),99))/100))+5.0)/(1-(((MIN(($L$6),99))/100))+5.0))))*100))/100))*0.96)),(((((MIN(($T$5),99))/100))+5.0)/(1-(((MIN(($T$5),99))/100))+5.0))))*100))/100))*0.96)),(((((MIN((T4),99))/100))+5.0)/(1-(((MIN((T4),99))/100))+5.0))))*100))/100))*0.96)),(((((MIN((T3),99))/100))+5.0)/(1-(((MIN((T3),99))/100))+5.0))))*100))/100))*0.96)),(((((MIN((T2),99))/100))+5.0)/(1-(((MIN((T2),99))/100))+5.0))))*100))/100))*0.96)),(((((MIN(($T1),99))/100))+5.0)/(1-(((MIN(($T1),99))/100))+5.0))))*100),0)</f>
        <v/>
      </c>
    </row>
    <row r="7">
      <c r="A7">
        <f>ROUND(((1-POWER(1-((0.02+(((((1-POWER(1-((0.02+(((((1-POWER(1-((0.02+(((((1-POWER(1-((0.02+(((((1-POWER(1-((0.02+(((((1-POWER(1-((0.02+(((43)/100))*0.96)),(((((MIN((A$6),99))/100))+5.0)/(1-(((MIN((A$6),99))/100))+5.0))))*100))/100))*0.96)),(((((MIN((A5),99))/100))+5.0)/(1-(((MIN((A5),99))/100))+5.0))))*100))/100))*0.96)),(((((MIN((A4),99))/100))+5.0)/(1-(((MIN((A4),99))/100))+5.0))))*100))/100))*0.96)),(((((MIN(($A$3),99))/100))+5.0)/(1-(((MIN(($A$3),99))/100))+5.0))))*100))/100))*0.96)),(((((MIN(($A$2),99))/100))+5.0)/(1-(((MIN(($A$2),99))/100))+5.0))))*100))/100))*0.96)),(((((MIN(($A$1),99))/100))+5.0)/(1-(((MIN(($A$1),99))/100))+5.0))))*100),0)</f>
        <v/>
      </c>
      <c r="B7">
        <f>ROUND(((1-POWER(1-((0.02+(((((1-POWER(1-((0.02+(((((1-POWER(1-((0.02+(((((1-POWER(1-((0.02+(((((1-POWER(1-((0.02+(((((1-POWER(1-((0.02+(((((1-POWER(1-((0.02+(((80)/100))*0.96)),(((((MIN(($A7),99))/100))+5.0)/(1-(((MIN(($A7),99))/100))+5.0))))*100))/100))*0.96)),(((((MIN((B$6),99))/100))+5.0)/(1-(((MIN((B$6),99))/100))+5.0))))*100))/100))*0.96)),(((((MIN(($B5),99))/100))+5.0)/(1-(((MIN(($B5),99))/100))+5.0))))*100))/100))*0.96)),(((((MIN(($B4),99))/100))+5.0)/(1-(((MIN(($B4),99))/100))+5.0))))*100))/100))*0.96)),(((((MIN((B3),99))/100))+5.0)/(1-(((MIN((B3),99))/100))+5.0))))*100))/100))*0.96)),(((((MIN(($B2),99))/100))+5.0)/(1-(((MIN(($B2),99))/100))+5.0))))*100))/100))*0.96)),(((((MIN((B1),99))/100))+5.0)/(1-(((MIN((B1),99))/100))+5.0))))*100),0)</f>
        <v/>
      </c>
      <c r="C7">
        <f>ROUND(((1-POWER(1-((0.02+(((((1-POWER(1-((0.02+(((((1-POWER(1-((0.02+(((((1-POWER(1-((0.02+(((((1-POWER(1-((0.02+(((((1-POWER(1-((0.02+(((((1-POWER(1-((0.02+(((((1-POWER(1-((0.02+(((17)/100))*0.96)),(((((MIN(($B7),99))/100))+5.0)/(1-(((MIN(($B7),99))/100))+5.0))))*100))/100))*0.96)),(((((MIN(($A$7),99))/100))+5.0)/(1-(((MIN(($A$7),99))/100))+5.0))))*100))/100))*0.96)),(((((MIN((C6),99))/100))+5.0)/(1-(((MIN((C6),99))/100))+5.0))))*100))/100))*0.96)),(((((MIN(($C$5),99))/100))+5.0)/(1-(((MIN(($C$5),99))/100))+5.0))))*100))/100))*0.96)),(((((MIN((C$4),99))/100))+5.0)/(1-(((MIN((C$4),99))/100))+5.0))))*100))/100))*0.96)),(((((MIN((C$3),99))/100))+5.0)/(1-(((MIN((C$3),99))/100))+5.0))))*100))/100))*0.96)),(((((MIN(($C$2),99))/100))+5.0)/(1-(((MIN(($C$2),99))/100))+5.0))))*100))/100))*0.96)),(((((MIN(($C1),99))/100))+5.0)/(1-(((MIN(($C1),99))/100))+5.0))))*100),0)</f>
        <v/>
      </c>
      <c r="D7">
        <f>ROUND(((1-POWER(1-((0.02+(((((1-POWER(1-((0.02+(((((1-POWER(1-((0.02+(((((1-POWER(1-((0.02+(((((1-POWER(1-((0.02+(((((1-POWER(1-((0.02+(((((1-POWER(1-((0.02+(((((1-POWER(1-((0.02+(((((1-POWER(1-((0.02+(((28)/100))*0.96)),(((((MIN(($C$7),99))/100))+5.0)/(1-(((MIN(($C$7),99))/100))+5.0))))*100))/100))*0.96)),(((((MIN(($B$7),99))/100))+5.0)/(1-(((MIN(($B$7),99))/100))+5.0))))*100))/100))*0.96)),(((((MIN((A7),99))/100))+5.0)/(1-(((MIN((A7),99))/100))+5.0))))*100))/100))*0.96)),(((((MIN((D$6),99))/100))+5.0)/(1-(((MIN((D$6),99))/100))+5.0))))*100))/100))*0.96)),(((((MIN(($D5),99))/100))+5.0)/(1-(((MIN(($D5),99))/100))+5.0))))*100))/100))*0.96)),(((((MIN((D4),99))/100))+5.0)/(1-(((MIN((D4),99))/100))+5.0))))*100))/100))*0.96)),(((((MIN((D$3),99))/100))+5.0)/(1-(((MIN((D$3),99))/100))+5.0))))*100))/100))*0.96)),(((((MIN(($D$2),99))/100))+5.0)/(1-(((MIN(($D$2),99))/100))+5.0))))*100))/100))*0.96)),(((((MIN((D1),99))/100))+5.0)/(1-(((MIN((D1),99))/100))+5.0))))*100),0)</f>
        <v/>
      </c>
      <c r="E7">
        <f>ROUND(((1-POWER(1-((0.02+(((((1-POWER(1-((0.02+(((((1-POWER(1-((0.02+(((((1-POWER(1-((0.02+(((((1-POWER(1-((0.02+(((((1-POWER(1-((0.02+(((((1-POWER(1-((0.02+(((((1-POWER(1-((0.02+(((((1-POWER(1-((0.02+(((((1-POWER(1-((0.02+(((17)/100))*0.96)),(((((MIN(($D$7),99))/100))+5.0)/(1-(((MIN(($D$7),99))/100))+5.0))))*100))/100))*0.96)),(((((MIN(($C$7),99))/100))+5.0)/(1-(((MIN(($C$7),99))/100))+5.0))))*100))/100))*0.96)),(((((MIN((B7),99))/100))+5.0)/(1-(((MIN((B7),99))/100))+5.0))))*100))/100))*0.96)),(((((MIN((A7),99))/100))+5.0)/(1-(((MIN((A7),99))/100))+5.0))))*100))/100))*0.96)),(((((MIN(($E6),99))/100))+5.0)/(1-(((MIN(($E6),99))/100))+5.0))))*100))/100))*0.96)),(((((MIN((E$5),99))/100))+5.0)/(1-(((MIN((E$5),99))/100))+5.0))))*100))/100))*0.96)),(((((MIN(($E$4),99))/100))+5.0)/(1-(((MIN(($E$4),99))/100))+5.0))))*100))/100))*0.96)),(((((MIN((E$3),99))/100))+5.0)/(1-(((MIN((E$3),99))/100))+5.0))))*100))/100))*0.96)),(((((MIN(($E$2),99))/100))+5.0)/(1-(((MIN(($E$2),99))/100))+5.0))))*100))/100))*0.96)),(((((MIN(($E$1),99))/100))+5.0)/(1-(((MIN(($E$1),99))/100))+5.0))))*100),0)</f>
        <v/>
      </c>
      <c r="F7">
        <f>ROUND(((1-POWER(1-((0.02+(((((1-POWER(1-((0.02+(((((1-POWER(1-((0.02+(((((1-POWER(1-((0.02+(((((1-POWER(1-((0.02+(((((1-POWER(1-((0.02+(((((1-POWER(1-((0.02+(((((1-POWER(1-((0.02+(((((1-POWER(1-((0.02+(((((1-POWER(1-((0.02+(((((1-POWER(1-((0.02+(((75)/100))*0.96)),(((((MIN((E$7),99))/100))+5.0)/(1-(((MIN((E$7),99))/100))+5.0))))*100))/100))*0.96)),(((((MIN((D7),99))/100))+5.0)/(1-(((MIN((D7),99))/100))+5.0))))*100))/100))*0.96)),(((((MIN((C7),99))/100))+5.0)/(1-(((MIN((C7),99))/100))+5.0))))*100))/100))*0.96)),(((((MIN(($B7),99))/100))+5.0)/(1-(((MIN(($B7),99))/100))+5.0))))*100))/100))*0.96)),(((((MIN((A$7),99))/100))+5.0)/(1-(((MIN((A$7),99))/100))+5.0))))*100))/100))*0.96)),(((((MIN(($F$6),99))/100))+5.0)/(1-(((MIN(($F$6),99))/100))+5.0))))*100))/100))*0.96)),(((((MIN(($F5),99))/100))+5.0)/(1-(((MIN(($F5),99))/100))+5.0))))*100))/100))*0.96)),(((((MIN((F4),99))/100))+5.0)/(1-(((MIN((F4),99))/100))+5.0))))*100))/100))*0.96)),(((((MIN((F3),99))/100))+5.0)/(1-(((MIN((F3),99))/100))+5.0))))*100))/100))*0.96)),(((((MIN((F2),99))/100))+5.0)/(1-(((MIN((F2),99))/100))+5.0))))*100))/100))*0.96)),(((((MIN((F$1),99))/100))+5.0)/(1-(((MIN((F$1),99))/100))+5.0))))*100),0)</f>
        <v/>
      </c>
      <c r="G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(68)/100))*0.96)),(((((MIN(($F7),99))/100))+5.0)/(1-(((MIN(($F7),99))/100))+5.0))))*100))/100))*0.96)),(((((MIN(($E7),99))/100))+5.0)/(1-(((MIN(($E7),99))/100))+5.0))))*100))/100))*0.96)),(((((MIN((D$7),99))/100))+5.0)/(1-(((MIN((D$7),99))/100))+5.0))))*100))/100))*0.96)),(((((MIN((C$7),99))/100))+5.0)/(1-(((MIN((C$7),99))/100))+5.0))))*100))/100))*0.96)),(((((MIN(($B7),99))/100))+5.0)/(1-(((MIN(($B7),99))/100))+5.0))))*100))/100))*0.96)),(((((MIN(($A$7),99))/100))+5.0)/(1-(((MIN(($A$7),99))/100))+5.0))))*100))/100))*0.96)),(((((MIN((G6),99))/100))+5.0)/(1-(((MIN((G6),99))/100))+5.0))))*100))/100))*0.96)),(((((MIN((G5),99))/100))+5.0)/(1-(((MIN((G5),99))/100))+5.0))))*100))/100))*0.96)),(((((MIN(($G$4),99))/100))+5.0)/(1-(((MIN(($G$4),99))/100))+5.0))))*100))/100))*0.96)),(((((MIN(($G$3),99))/100))+5.0)/(1-(((MIN(($G$3),99))/100))+5.0))))*100))/100))*0.96)),(((((MIN((G2),99))/100))+5.0)/(1-(((MIN((G2),99))/100))+5.0))))*100))/100))*0.96)),(((((MIN(($G1),99))/100))+5.0)/(1-(((MIN(($G1),99))/100))+5.0))))*100),0)</f>
        <v/>
      </c>
      <c r="H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(59)/100))*0.96)),(((((MIN(($G7),99))/100))+5.0)/(1-(((MIN(($G7),99))/100))+5.0))))*100))/100))*0.96)),(((((MIN(($F$7),99))/100))+5.0)/(1-(((MIN(($F$7),99))/100))+5.0))))*100))/100))*0.96)),(((((MIN((E7),99))/100))+5.0)/(1-(((MIN((E7),99))/100))+5.0))))*100))/100))*0.96)),(((((MIN((D$7),99))/100))+5.0)/(1-(((MIN((D$7),99))/100))+5.0))))*100))/100))*0.96)),(((((MIN((C$7),99))/100))+5.0)/(1-(((MIN((C$7),99))/100))+5.0))))*100))/100))*0.96)),(((((MIN(($B7),99))/100))+5.0)/(1-(((MIN(($B7),99))/100))+5.0))))*100))/100))*0.96)),(((((MIN(($A$7),99))/100))+5.0)/(1-(((MIN(($A$7),99))/100))+5.0))))*100))/100))*0.96)),(((((MIN((H$6),99))/100))+5.0)/(1-(((MIN((H$6),99))/100))+5.0))))*100))/100))*0.96)),(((((MIN((H$5),99))/100))+5.0)/(1-(((MIN((H$5),99))/100))+5.0))))*100))/100))*0.96)),(((((MIN((H$4),99))/100))+5.0)/(1-(((MIN((H$4),99))/100))+5.0))))*100))/100))*0.96)),(((((MIN((H3),99))/100))+5.0)/(1-(((MIN((H3),99))/100))+5.0))))*100))/100))*0.96)),(((((MIN((H$2),99))/100))+5.0)/(1-(((MIN((H$2),99))/100))+5.0))))*100))/100))*0.96)),(((((MIN((H1),99))/100))+5.0)/(1-(((MIN((H1),99))/100))+5.0))))*100),0)</f>
        <v/>
      </c>
      <c r="I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(15)/100))*0.96)),(((((MIN(($H$7),99))/100))+5.0)/(1-(((MIN(($H$7),99))/100))+5.0))))*100))/100))*0.96)),(((((MIN(($G$7),99))/100))+5.0)/(1-(((MIN(($G$7),99))/100))+5.0))))*100))/100))*0.96)),(((((MIN((F7),99))/100))+5.0)/(1-(((MIN((F7),99))/100))+5.0))))*100))/100))*0.96)),(((((MIN(($E7),99))/100))+5.0)/(1-(((MIN(($E7),99))/100))+5.0))))*100))/100))*0.96)),(((((MIN(($D$7),99))/100))+5.0)/(1-(((MIN(($D$7),99))/100))+5.0))))*100))/100))*0.96)),(((((MIN((C7),99))/100))+5.0)/(1-(((MIN((C7),99))/100))+5.0))))*100))/100))*0.96)),(((((MIN((B7),99))/100))+5.0)/(1-(((MIN((B7),99))/100))+5.0))))*100))/100))*0.96)),(((((MIN(($A7),99))/100))+5.0)/(1-(((MIN(($A7),99))/100))+5.0))))*100))/100))*0.96)),(((((MIN(($I6),99))/100))+5.0)/(1-(((MIN(($I6),99))/100))+5.0))))*100))/100))*0.96)),(((((MIN(($I5),99))/100))+5.0)/(1-(((MIN(($I5),99))/100))+5.0))))*100))/100))*0.96)),(((((MIN(($I$4),99))/100))+5.0)/(1-(((MIN(($I$4),99))/100))+5.0))))*100))/100))*0.96)),(((((MIN((I$3),99))/100))+5.0)/(1-(((MIN((I$3),99))/100))+5.0))))*100))/100))*0.96)),(((((MIN((I2),99))/100))+5.0)/(1-(((MIN((I2),99))/100))+5.0))))*100))/100))*0.96)),(((((MIN((I1),99))/100))+5.0)/(1-(((MIN((I1),99))/100))+5.0))))*100),0)</f>
        <v/>
      </c>
      <c r="J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(69)/100))*0.96)),(((((MIN(($I7),99))/100))+5.0)/(1-(((MIN(($I7),99))/100))+5.0))))*100))/100))*0.96)),(((((MIN(($H7),99))/100))+5.0)/(1-(((MIN(($H7),99))/100))+5.0))))*100))/100))*0.96)),(((((MIN(($G$7),99))/100))+5.0)/(1-(((MIN(($G$7),99))/100))+5.0))))*100))/100))*0.96)),(((((MIN(($F$7),99))/100))+5.0)/(1-(((MIN(($F$7),99))/100))+5.0))))*100))/100))*0.96)),(((((MIN(($E$7),99))/100))+5.0)/(1-(((MIN(($E$7),99))/100))+5.0))))*100))/100))*0.96)),(((((MIN(($D$7),99))/100))+5.0)/(1-(((MIN(($D$7),99))/100))+5.0))))*100))/100))*0.96)),(((((MIN(($C$7),99))/100))+5.0)/(1-(((MIN(($C$7),99))/100))+5.0))))*100))/100))*0.96)),(((((MIN(($B$7),99))/100))+5.0)/(1-(((MIN(($B$7),99))/100))+5.0))))*100))/100))*0.96)),(((((MIN(($J6),99))/100))+5.0)/(1-(((MIN(($J6),99))/100))+5.0))))*100))/100))*0.96)),(((((MIN((J5),99))/100))+5.0)/(1-(((MIN((J5),99))/100))+5.0))))*100))/100))*0.96)),(((((MIN(($J4),99))/100))+5.0)/(1-(((MIN(($J4),99))/100))+5.0))))*100))/100))*0.96)),(((((MIN((J3),99))/100))+5.0)/(1-(((MIN((J3),99))/100))+5.0))))*100))/100))*0.96)),(((((MIN(($J$2),99))/100))+5.0)/(1-(((MIN(($J$2),99))/100))+5.0))))*100))/100))*0.96)),(((((MIN(($J1),99))/100))+5.0)/(1-(((MIN(($J1),99))/100))+5.0))))*100),0)</f>
        <v/>
      </c>
      <c r="K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(66)/100))*0.96)),(((((MIN((J$7),99))/100))+5.0)/(1-(((MIN((J$7),99))/100))+5.0))))*100))/100))*0.96)),(((((MIN(($I7),99))/100))+5.0)/(1-(((MIN(($I7),99))/100))+5.0))))*100))/100))*0.96)),(((((MIN((H7),99))/100))+5.0)/(1-(((MIN((H7),99))/100))+5.0))))*100))/100))*0.96)),(((((MIN(($G7),99))/100))+5.0)/(1-(((MIN(($G7),99))/100))+5.0))))*100))/100))*0.96)),(((((MIN((F7),99))/100))+5.0)/(1-(((MIN((F7),99))/100))+5.0))))*100))/100))*0.96)),(((((MIN((E$7),99))/100))+5.0)/(1-(((MIN((E$7),99))/100))+5.0))))*100))/100))*0.96)),(((((MIN((D7),99))/100))+5.0)/(1-(((MIN((D7),99))/100))+5.0))))*100))/100))*0.96)),(((((MIN((C7),99))/100))+5.0)/(1-(((MIN((C7),99))/100))+5.0))))*100))/100))*0.96)),(((((MIN((K6),99))/100))+5.0)/(1-(((MIN((K6),99))/100))+5.0))))*100))/100))*0.96)),(((((MIN((K$5),99))/100))+5.0)/(1-(((MIN((K$5),99))/100))+5.0))))*100))/100))*0.96)),(((((MIN(($K4),99))/100))+5.0)/(1-(((MIN(($K4),99))/100))+5.0))))*100))/100))*0.96)),(((((MIN(($K$3),99))/100))+5.0)/(1-(((MIN(($K$3),99))/100))+5.0))))*100))/100))*0.96)),(((((MIN(($K2),99))/100))+5.0)/(1-(((MIN(($K2),99))/100))+5.0))))*100))/100))*0.96)),(((((MIN((K1),99))/100))+5.0)/(1-(((MIN((K1),99))/100))+5.0))))*100),0)</f>
        <v/>
      </c>
      <c r="L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(67)/100))*0.96)),(((((MIN(($K$7),99))/100))+5.0)/(1-(((MIN(($K$7),99))/100))+5.0))))*100))/100))*0.96)),(((((MIN(($J7),99))/100))+5.0)/(1-(((MIN(($J7),99))/100))+5.0))))*100))/100))*0.96)),(((((MIN((I$7),99))/100))+5.0)/(1-(((MIN((I$7),99))/100))+5.0))))*100))/100))*0.96)),(((((MIN(($H7),99))/100))+5.0)/(1-(((MIN(($H7),99))/100))+5.0))))*100))/100))*0.96)),(((((MIN(($G7),99))/100))+5.0)/(1-(((MIN(($G7),99))/100))+5.0))))*100))/100))*0.96)),(((((MIN(($F$7),99))/100))+5.0)/(1-(((MIN(($F$7),99))/100))+5.0))))*100))/100))*0.96)),(((((MIN(($E7),99))/100))+5.0)/(1-(((MIN(($E7),99))/100))+5.0))))*100))/100))*0.96)),(((((MIN((D7),99))/100))+5.0)/(1-(((MIN((D7),99))/100))+5.0))))*100))/100))*0.96)),(((((MIN((L$6),99))/100))+5.0)/(1-(((MIN((L$6),99))/100))+5.0))))*100))/100))*0.96)),(((((MIN(($L5),99))/100))+5.0)/(1-(((MIN(($L5),99))/100))+5.0))))*100))/100))*0.96)),(((((MIN(($L4),99))/100))+5.0)/(1-(((MIN(($L4),99))/100))+5.0))))*100))/100))*0.96)),(((((MIN((L$3),99))/100))+5.0)/(1-(((MIN((L$3),99))/100))+5.0))))*100))/100))*0.96)),(((((MIN(($L2),99))/100))+5.0)/(1-(((MIN(($L2),99))/100))+5.0))))*100))/100))*0.96)),(((((MIN(($L$1),99))/100))+5.0)/(1-(((MIN(($L$1),99))/100))+5.0))))*100),0)</f>
        <v/>
      </c>
      <c r="M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(33)/100))*0.96)),(((((MIN((L$7),99))/100))+5.0)/(1-(((MIN((L$7),99))/100))+5.0))))*100))/100))*0.96)),(((((MIN(($K$7),99))/100))+5.0)/(1-(((MIN(($K$7),99))/100))+5.0))))*100))/100))*0.96)),(((((MIN((J7),99))/100))+5.0)/(1-(((MIN((J7),99))/100))+5.0))))*100))/100))*0.96)),(((((MIN(($I$7),99))/100))+5.0)/(1-(((MIN(($I$7),99))/100))+5.0))))*100))/100))*0.96)),(((((MIN(($H$7),99))/100))+5.0)/(1-(((MIN(($H$7),99))/100))+5.0))))*100))/100))*0.96)),(((((MIN(($G$7),99))/100))+5.0)/(1-(((MIN(($G$7),99))/100))+5.0))))*100))/100))*0.96)),(((((MIN(($F$7),99))/100))+5.0)/(1-(((MIN(($F$7),99))/100))+5.0))))*100))/100))*0.96)),(((((MIN(($E7),99))/100))+5.0)/(1-(((MIN(($E7),99))/100))+5.0))))*100))/100))*0.96)),(((((MIN((M$6),99))/100))+5.0)/(1-(((MIN((M$6),99))/100))+5.0))))*100))/100))*0.96)),(((((MIN((M5),99))/100))+5.0)/(1-(((MIN((M5),99))/100))+5.0))))*100))/100))*0.96)),(((((MIN(($M$4),99))/100))+5.0)/(1-(((MIN(($M$4),99))/100))+5.0))))*100))/100))*0.96)),(((((MIN(($M3),99))/100))+5.0)/(1-(((MIN(($M3),99))/100))+5.0))))*100))/100))*0.96)),(((((MIN((M$2),99))/100))+5.0)/(1-(((MIN((M$2),99))/100))+5.0))))*100))/100))*0.96)),(((((MIN(($M$1),99))/100))+5.0)/(1-(((MIN(($M$1),99))/100))+5.0))))*100))/100))*0.96)),(((((MIN((N7),99))/100))+5.0)/(1-(((MIN((N7),99))/100))+5.0))))*100),0)</f>
        <v/>
      </c>
      <c r="N7" t="n">
        <v>35</v>
      </c>
      <c r="O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(11)/100))*0.96)),(((((MIN(($N$7),99))/100))+5.0)/(1-(((MIN(($N$7),99))/100))+5.0))))*100))/100))*0.96)),(((((MIN((M7),99))/100))+5.0)/(1-(((MIN((M7),99))/100))+5.0))))*100))/100))*0.96)),(((((MIN(($L$7),99))/100))+5.0)/(1-(((MIN(($L$7),99))/100))+5.0))))*100))/100))*0.96)),(((((MIN((K$7),99))/100))+5.0)/(1-(((MIN((K$7),99))/100))+5.0))))*100))/100))*0.96)),(((((MIN(($J7),99))/100))+5.0)/(1-(((MIN(($J7),99))/100))+5.0))))*100))/100))*0.96)),(((((MIN((I$7),99))/100))+5.0)/(1-(((MIN((I$7),99))/100))+5.0))))*100))/100))*0.96)),(((((MIN(($H7),99))/100))+5.0)/(1-(((MIN(($H7),99))/100))+5.0))))*100))/100))*0.96)),(((((MIN(($G7),99))/100))+5.0)/(1-(((MIN(($G7),99))/100))+5.0))))*100))/100))*0.96)),(((((MIN((O6),99))/100))+5.0)/(1-(((MIN((O6),99))/100))+5.0))))*100))/100))*0.96)),(((((MIN(($O5),99))/100))+5.0)/(1-(((MIN(($O5),99))/100))+5.0))))*100))/100))*0.96)),(((((MIN(($O$4),99))/100))+5.0)/(1-(((MIN(($O$4),99))/100))+5.0))))*100))/100))*0.96)),(((((MIN(($O$3),99))/100))+5.0)/(1-(((MIN(($O$3),99))/100))+5.0))))*100))/100))*0.96)),(((((MIN(($O$2),99))/100))+5.0)/(1-(((MIN(($O$2),99))/100))+5.0))))*100))/100))*0.96)),(((((MIN((O1),99))/100))+5.0)/(1-(((MIN((O1),99))/100))+5.0))))*100))/100))*0.96)),(((((MIN(($P$8),99))/100))+5.0)/(1-(((MIN(($P$8),99))/100))+5.0))))*100),0)</f>
        <v/>
      </c>
      <c r="P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(45)/100))*0.96)),(((((MIN(($O7),99))/100))+5.0)/(1-(((MIN(($O7),99))/100))+5.0))))*100))/100))*0.96)),(((((MIN((N7),99))/100))+5.0)/(1-(((MIN((N7),99))/100))+5.0))))*100))/100))*0.96)),(((((MIN(($M7),99))/100))+5.0)/(1-(((MIN(($M7),99))/100))+5.0))))*100))/100))*0.96)),(((((MIN(($L$7),99))/100))+5.0)/(1-(((MIN(($L$7),99))/100))+5.0))))*100))/100))*0.96)),(((((MIN((K$7),99))/100))+5.0)/(1-(((MIN((K$7),99))/100))+5.0))))*100))/100))*0.96)),(((((MIN(($J7),99))/100))+5.0)/(1-(((MIN(($J7),99))/100))+5.0))))*100))/100))*0.96)),(((((MIN((I$7),99))/100))+5.0)/(1-(((MIN((I$7),99))/100))+5.0))))*100))/100))*0.96)),(((((MIN(($H7),99))/100))+5.0)/(1-(((MIN(($H7),99))/100))+5.0))))*100))/100))*0.96)),(((((MIN(($P$6),99))/100))+5.0)/(1-(((MIN(($P$6),99))/100))+5.0))))*100))/100))*0.96)),(((((MIN(($P$5),99))/100))+5.0)/(1-(((MIN(($P$5),99))/100))+5.0))))*100))/100))*0.96)),(((((MIN(($P$4),99))/100))+5.0)/(1-(((MIN(($P$4),99))/100))+5.0))))*100))/100))*0.96)),(((((MIN(($P3),99))/100))+5.0)/(1-(((MIN(($P3),99))/100))+5.0))))*100))/100))*0.96)),(((((MIN((P2),99))/100))+5.0)/(1-(((MIN((P2),99))/100))+5.0))))*100))/100))*0.96)),(((((MIN(($P1),99))/100))+5.0)/(1-(((MIN(($P1),99))/100))+5.0))))*100))/100))*0.96)),(((((MIN((P8),99))/100))+5.0)/(1-(((MIN((P8),99))/100))+5.0))))*100),0)</f>
        <v/>
      </c>
      <c r="Q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(24)/100))*0.96)),(((((MIN((P7),99))/100))+5.0)/(1-(((MIN((P7),99))/100))+5.0))))*100))/100))*0.96)),(((((MIN((O7),99))/100))+5.0)/(1-(((MIN((O7),99))/100))+5.0))))*100))/100))*0.96)),(((((MIN((N$7),99))/100))+5.0)/(1-(((MIN((N$7),99))/100))+5.0))))*100))/100))*0.96)),(((((MIN((M7),99))/100))+5.0)/(1-(((MIN((M7),99))/100))+5.0))))*100))/100))*0.96)),(((((MIN((L7),99))/100))+5.0)/(1-(((MIN((L7),99))/100))+5.0))))*100))/100))*0.96)),(((((MIN(($K7),99))/100))+5.0)/(1-(((MIN(($K7),99))/100))+5.0))))*100))/100))*0.96)),(((((MIN(($J$7),99))/100))+5.0)/(1-(((MIN(($J$7),99))/100))+5.0))))*100))/100))*0.96)),(((((MIN(($I7),99))/100))+5.0)/(1-(((MIN(($I7),99))/100))+5.0))))*100))/100))*0.96)),(((((MIN(($Q$6),99))/100))+5.0)/(1-(((MIN(($Q$6),99))/100))+5.0))))*100))/100))*0.96)),(((((MIN(($Q$5),99))/100))+5.0)/(1-(((MIN(($Q$5),99))/100))+5.0))))*100))/100))*0.96)),(((((MIN(($Q4),99))/100))+5.0)/(1-(((MIN(($Q4),99))/100))+5.0))))*100))/100))*0.96)),(((((MIN(($Q$3),99))/100))+5.0)/(1-(((MIN(($Q$3),99))/100))+5.0))))*100))/100))*0.96)),(((((MIN((Q$2),99))/100))+5.0)/(1-(((MIN((Q$2),99))/100))+5.0))))*100))/100))*0.96)),(((((MIN(($Q$1),99))/100))+5.0)/(1-(((MIN(($Q$1),99))/100))+5.0))))*100),0)</f>
        <v/>
      </c>
      <c r="R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(67)/100))*0.96)),(((((MIN(($Q$7),99))/100))+5.0)/(1-(((MIN(($Q$7),99))/100))+5.0))))*100))/100))*0.96)),(((((MIN((P7),99))/100))+5.0)/(1-(((MIN((P7),99))/100))+5.0))))*100))/100))*0.96)),(((((MIN(($O$7),99))/100))+5.0)/(1-(((MIN(($O$7),99))/100))+5.0))))*100))/100))*0.96)),(((((MIN(($N7),99))/100))+5.0)/(1-(((MIN(($N7),99))/100))+5.0))))*100))/100))*0.96)),(((((MIN((M$7),99))/100))+5.0)/(1-(((MIN((M$7),99))/100))+5.0))))*100))/100))*0.96)),(((((MIN((L$7),99))/100))+5.0)/(1-(((MIN((L$7),99))/100))+5.0))))*100))/100))*0.96)),(((((MIN((K7),99))/100))+5.0)/(1-(((MIN((K7),99))/100))+5.0))))*100))/100))*0.96)),(((((MIN((J$7),99))/100))+5.0)/(1-(((MIN((J$7),99))/100))+5.0))))*100))/100))*0.96)),(((((MIN(($R6),99))/100))+5.0)/(1-(((MIN(($R6),99))/100))+5.0))))*100))/100))*0.96)),(((((MIN(($R$5),99))/100))+5.0)/(1-(((MIN(($R$5),99))/100))+5.0))))*100))/100))*0.96)),(((((MIN(($R$4),99))/100))+5.0)/(1-(((MIN(($R$4),99))/100))+5.0))))*100))/100))*0.96)),(((((MIN((R$3),99))/100))+5.0)/(1-(((MIN((R$3),99))/100))+5.0))))*100))/100))*0.96)),(((((MIN((R2),99))/100))+5.0)/(1-(((MIN((R2),99))/100))+5.0))))*100))/100))*0.96)),(((((MIN(($R1),99))/100))+5.0)/(1-(((MIN(($R1),99))/100))+5.0))))*100),0)</f>
        <v/>
      </c>
      <c r="S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(93)/100))*0.96)),(((((MIN(($R7),99))/100))+5.0)/(1-(((MIN(($R7),99))/100))+5.0))))*100))/100))*0.96)),(((((MIN(($Q$7),99))/100))+5.0)/(1-(((MIN(($Q$7),99))/100))+5.0))))*100))/100))*0.96)),(((((MIN(($P$7),99))/100))+5.0)/(1-(((MIN(($P$7),99))/100))+5.0))))*100))/100))*0.96)),(((((MIN(($O$7),99))/100))+5.0)/(1-(((MIN(($O$7),99))/100))+5.0))))*100))/100))*0.96)),(((((MIN((N$7),99))/100))+5.0)/(1-(((MIN((N$7),99))/100))+5.0))))*100))/100))*0.96)),(((((MIN((M7),99))/100))+5.0)/(1-(((MIN((M7),99))/100))+5.0))))*100))/100))*0.96)),(((((MIN(($L$7),99))/100))+5.0)/(1-(((MIN(($L$7),99))/100))+5.0))))*100))/100))*0.96)),(((((MIN(($K7),99))/100))+5.0)/(1-(((MIN(($K7),99))/100))+5.0))))*100))/100))*0.96)),(((((MIN(($S$6),99))/100))+5.0)/(1-(((MIN(($S$6),99))/100))+5.0))))*100))/100))*0.96)),(((((MIN((S$5),99))/100))+5.0)/(1-(((MIN((S$5),99))/100))+5.0))))*100))/100))*0.96)),(((((MIN((S4),99))/100))+5.0)/(1-(((MIN((S4),99))/100))+5.0))))*100))/100))*0.96)),(((((MIN(($S3),99))/100))+5.0)/(1-(((MIN(($S3),99))/100))+5.0))))*100))/100))*0.96)),(((((MIN(($S2),99))/100))+5.0)/(1-(((MIN(($S2),99))/100))+5.0))))*100))/100))*0.96)),(((((MIN(($S$1),99))/100))+5.0)/(1-(((MIN(($S$1),99))/100))+5.0))))*100),0)</f>
        <v/>
      </c>
      <c r="T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(59)/100))*0.96)),(((((MIN(($S7),99))/100))+5.0)/(1-(((MIN(($S7),99))/100))+5.0))))*100))/100))*0.96)),(((((MIN((R7),99))/100))+5.0)/(1-(((MIN((R7),99))/100))+5.0))))*100))/100))*0.96)),(((((MIN((Q7),99))/100))+5.0)/(1-(((MIN((Q7),99))/100))+5.0))))*100))/100))*0.96)),(((((MIN((P$7),99))/100))+5.0)/(1-(((MIN((P$7),99))/100))+5.0))))*100))/100))*0.96)),(((((MIN((O7),99))/100))+5.0)/(1-(((MIN((O7),99))/100))+5.0))))*100))/100))*0.96)),(((((MIN(($N7),99))/100))+5.0)/(1-(((MIN(($N7),99))/100))+5.0))))*100))/100))*0.96)),(((((MIN((M7),99))/100))+5.0)/(1-(((MIN((M7),99))/100))+5.0))))*100))/100))*0.96)),(((((MIN(($L$7),99))/100))+5.0)/(1-(((MIN(($L$7),99))/100))+5.0))))*100))/100))*0.96)),(((((MIN((T$6),99))/100))+5.0)/(1-(((MIN((T$6),99))/100))+5.0))))*100))/100))*0.96)),(((((MIN(($T5),99))/100))+5.0)/(1-(((MIN(($T5),99))/100))+5.0))))*100))/100))*0.96)),(((((MIN((T4),99))/100))+5.0)/(1-(((MIN((T4),99))/100))+5.0))))*100))/100))*0.96)),(((((MIN((T3),99))/100))+5.0)/(1-(((MIN((T3),99))/100))+5.0))))*100))/100))*0.96)),(((((MIN((T$2),99))/100))+5.0)/(1-(((MIN((T$2),99))/100))+5.0))))*100))/100))*0.96)),(((((MIN(($T$1),99))/100))+5.0)/(1-(((MIN(($T$1),99))/100))+5.0))))*100),0)</f>
        <v/>
      </c>
    </row>
    <row r="8">
      <c r="A8">
        <f>ROUND(((1-POWER(1-((0.02+(((((1-POWER(1-((0.02+(((((1-POWER(1-((0.02+(((((1-POWER(1-((0.02+(((((1-POWER(1-((0.02+(((((1-POWER(1-((0.02+(((((1-POWER(1-((0.02+(((12)/100))*0.96)),(((((MIN(($A7),99))/100))+5.0)/(1-(((MIN(($A7),99))/100))+5.0))))*100))/100))*0.96)),(((((MIN((A6),99))/100))+5.0)/(1-(((MIN((A6),99))/100))+5.0))))*100))/100))*0.96)),(((((MIN(($A5),99))/100))+5.0)/(1-(((MIN(($A5),99))/100))+5.0))))*100))/100))*0.96)),(((((MIN((A4),99))/100))+5.0)/(1-(((MIN((A4),99))/100))+5.0))))*100))/100))*0.96)),(((((MIN(($A$3),99))/100))+5.0)/(1-(((MIN(($A$3),99))/100))+5.0))))*100))/100))*0.96)),(((((MIN(($A$2),99))/100))+5.0)/(1-(((MIN(($A$2),99))/100))+5.0))))*100))/100))*0.96)),(((((MIN(($A$1),99))/100))+5.0)/(1-(((MIN(($A$1),99))/100))+5.0))))*100),0)</f>
        <v/>
      </c>
      <c r="B8">
        <f>ROUND(((1-POWER(1-((0.02+(((((1-POWER(1-((0.02+(((((1-POWER(1-((0.02+(((((1-POWER(1-((0.02+(((((1-POWER(1-((0.02+(((((1-POWER(1-((0.02+(((((1-POWER(1-((0.02+(((((1-POWER(1-((0.02+(((17)/100))*0.96)),(((((MIN(($A8),99))/100))+5.0)/(1-(((MIN(($A8),99))/100))+5.0))))*100))/100))*0.96)),(((((MIN((B7),99))/100))+5.0)/(1-(((MIN((B7),99))/100))+5.0))))*100))/100))*0.96)),(((((MIN(($B6),99))/100))+5.0)/(1-(((MIN(($B6),99))/100))+5.0))))*100))/100))*0.96)),(((((MIN(($B$5),99))/100))+5.0)/(1-(((MIN(($B$5),99))/100))+5.0))))*100))/100))*0.96)),(((((MIN(($B$4),99))/100))+5.0)/(1-(((MIN(($B$4),99))/100))+5.0))))*100))/100))*0.96)),(((((MIN(($B3),99))/100))+5.0)/(1-(((MIN(($B3),99))/100))+5.0))))*100))/100))*0.96)),(((((MIN(($B2),99))/100))+5.0)/(1-(((MIN(($B2),99))/100))+5.0))))*100))/100))*0.96)),(((((MIN(($B$1),99))/100))+5.0)/(1-(((MIN(($B$1),99))/100))+5.0))))*100),0)</f>
        <v/>
      </c>
      <c r="C8">
        <f>ROUND(((1-POWER(1-((0.02+(((((1-POWER(1-((0.02+(((((1-POWER(1-((0.02+(((((1-POWER(1-((0.02+(((((1-POWER(1-((0.02+(((((1-POWER(1-((0.02+(((((1-POWER(1-((0.02+(((((1-POWER(1-((0.02+(((((1-POWER(1-((0.02+(((33)/100))*0.96)),(((((MIN((B$8),99))/100))+5.0)/(1-(((MIN((B$8),99))/100))+5.0))))*100))/100))*0.96)),(((((MIN((A$8),99))/100))+5.0)/(1-(((MIN((A$8),99))/100))+5.0))))*100))/100))*0.96)),(((((MIN(($C7),99))/100))+5.0)/(1-(((MIN(($C7),99))/100))+5.0))))*100))/100))*0.96)),(((((MIN((C$6),99))/100))+5.0)/(1-(((MIN((C$6),99))/100))+5.0))))*100))/100))*0.96)),(((((MIN((C$5),99))/100))+5.0)/(1-(((MIN((C$5),99))/100))+5.0))))*100))/100))*0.96)),(((((MIN(($C4),99))/100))+5.0)/(1-(((MIN(($C4),99))/100))+5.0))))*100))/100))*0.96)),(((((MIN((C3),99))/100))+5.0)/(1-(((MIN((C3),99))/100))+5.0))))*100))/100))*0.96)),(((((MIN(($C2),99))/100))+5.0)/(1-(((MIN(($C2),99))/100))+5.0))))*100))/100))*0.96)),(((((MIN(($C$1),99))/100))+5.0)/(1-(((MIN(($C$1),99))/100))+5.0))))*100),0)</f>
        <v/>
      </c>
      <c r="D8">
        <f>ROUND(((1-POWER(1-((0.02+(((((1-POWER(1-((0.02+(((((1-POWER(1-((0.02+(((((1-POWER(1-((0.02+(((((1-POWER(1-((0.02+(((((1-POWER(1-((0.02+(((((1-POWER(1-((0.02+(((((1-POWER(1-((0.02+(((((1-POWER(1-((0.02+(((((1-POWER(1-((0.02+(((22)/100))*0.96)),(((((MIN(($C8),99))/100))+5.0)/(1-(((MIN(($C8),99))/100))+5.0))))*100))/100))*0.96)),(((((MIN(($B$8),99))/100))+5.0)/(1-(((MIN(($B$8),99))/100))+5.0))))*100))/100))*0.96)),(((((MIN(($A8),99))/100))+5.0)/(1-(((MIN(($A8),99))/100))+5.0))))*100))/100))*0.96)),(((((MIN((D$7),99))/100))+5.0)/(1-(((MIN((D$7),99))/100))+5.0))))*100))/100))*0.96)),(((((MIN(($D$6),99))/100))+5.0)/(1-(((MIN(($D$6),99))/100))+5.0))))*100))/100))*0.96)),(((((MIN(($D$5),99))/100))+5.0)/(1-(((MIN(($D$5),99))/100))+5.0))))*100))/100))*0.96)),(((((MIN(($D4),99))/100))+5.0)/(1-(((MIN(($D4),99))/100))+5.0))))*100))/100))*0.96)),(((((MIN((D$3),99))/100))+5.0)/(1-(((MIN((D$3),99))/100))+5.0))))*100))/100))*0.96)),(((((MIN(($D$2),99))/100))+5.0)/(1-(((MIN(($D$2),99))/100))+5.0))))*100))/100))*0.96)),(((((MIN((D1),99))/100))+5.0)/(1-(((MIN((D1),99))/100))+5.0))))*100),0)</f>
        <v/>
      </c>
      <c r="E8">
        <f>ROUND(((1-POWER(1-((0.02+(((((1-POWER(1-((0.02+(((((1-POWER(1-((0.02+(((((1-POWER(1-((0.02+(((((1-POWER(1-((0.02+(((((1-POWER(1-((0.02+(((((1-POWER(1-((0.02+(((((1-POWER(1-((0.02+(((((1-POWER(1-((0.02+(((((1-POWER(1-((0.02+(((((1-POWER(1-((0.02+(((6)/100))*0.96)),(((((MIN(($D8),99))/100))+5.0)/(1-(((MIN(($D8),99))/100))+5.0))))*100))/100))*0.96)),(((((MIN(($C8),99))/100))+5.0)/(1-(((MIN(($C8),99))/100))+5.0))))*100))/100))*0.96)),(((((MIN((B8),99))/100))+5.0)/(1-(((MIN((B8),99))/100))+5.0))))*100))/100))*0.96)),(((((MIN(($A8),99))/100))+5.0)/(1-(((MIN(($A8),99))/100))+5.0))))*100))/100))*0.96)),(((((MIN(($E$7),99))/100))+5.0)/(1-(((MIN(($E$7),99))/100))+5.0))))*100))/100))*0.96)),(((((MIN((E$6),99))/100))+5.0)/(1-(((MIN((E$6),99))/100))+5.0))))*100))/100))*0.96)),(((((MIN((E5),99))/100))+5.0)/(1-(((MIN((E5),99))/100))+5.0))))*100))/100))*0.96)),(((((MIN(($E4),99))/100))+5.0)/(1-(((MIN(($E4),99))/100))+5.0))))*100))/100))*0.96)),(((((MIN(($E3),99))/100))+5.0)/(1-(((MIN(($E3),99))/100))+5.0))))*100))/100))*0.96)),(((((MIN((E$2),99))/100))+5.0)/(1-(((MIN((E$2),99))/100))+5.0))))*100))/100))*0.96)),(((((MIN((E$1),99))/100))+5.0)/(1-(((MIN((E$1),99))/100))+5.0))))*100),0)</f>
        <v/>
      </c>
      <c r="F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(53)/100))*0.96)),(((((MIN((E8),99))/100))+5.0)/(1-(((MIN((E8),99))/100))+5.0))))*100))/100))*0.96)),(((((MIN((D$8),99))/100))+5.0)/(1-(((MIN((D$8),99))/100))+5.0))))*100))/100))*0.96)),(((((MIN(($C$8),99))/100))+5.0)/(1-(((MIN(($C$8),99))/100))+5.0))))*100))/100))*0.96)),(((((MIN(($B$8),99))/100))+5.0)/(1-(((MIN(($B$8),99))/100))+5.0))))*100))/100))*0.96)),(((((MIN((A$8),99))/100))+5.0)/(1-(((MIN((A$8),99))/100))+5.0))))*100))/100))*0.96)),(((((MIN(($F$7),99))/100))+5.0)/(1-(((MIN(($F$7),99))/100))+5.0))))*100))/100))*0.96)),(((((MIN(($F6),99))/100))+5.0)/(1-(((MIN(($F6),99))/100))+5.0))))*100))/100))*0.96)),(((((MIN((F$5),99))/100))+5.0)/(1-(((MIN((F$5),99))/100))+5.0))))*100))/100))*0.96)),(((((MIN((F4),99))/100))+5.0)/(1-(((MIN((F4),99))/100))+5.0))))*100))/100))*0.96)),(((((MIN((F3),99))/100))+5.0)/(1-(((MIN((F3),99))/100))+5.0))))*100))/100))*0.96)),(((((MIN((F$2),99))/100))+5.0)/(1-(((MIN((F$2),99))/100))+5.0))))*100))/100))*0.96)),(((((MIN((F$1),99))/100))+5.0)/(1-(((MIN((F$1),99))/100))+5.0))))*100),0)</f>
        <v/>
      </c>
      <c r="G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(76)/100))*0.96)),(((((MIN((F$8),99))/100))+5.0)/(1-(((MIN((F$8),99))/100))+5.0))))*100))/100))*0.96)),(((((MIN((E8),99))/100))+5.0)/(1-(((MIN((E8),99))/100))+5.0))))*100))/100))*0.96)),(((((MIN((D8),99))/100))+5.0)/(1-(((MIN((D8),99))/100))+5.0))))*100))/100))*0.96)),(((((MIN(($C$8),99))/100))+5.0)/(1-(((MIN(($C$8),99))/100))+5.0))))*100))/100))*0.96)),(((((MIN((B$8),99))/100))+5.0)/(1-(((MIN((B$8),99))/100))+5.0))))*100))/100))*0.96)),(((((MIN((A$8),99))/100))+5.0)/(1-(((MIN((A$8),99))/100))+5.0))))*100))/100))*0.96)),(((((MIN(($G7),99))/100))+5.0)/(1-(((MIN(($G7),99))/100))+5.0))))*100))/100))*0.96)),(((((MIN(($G6),99))/100))+5.0)/(1-(((MIN(($G6),99))/100))+5.0))))*100))/100))*0.96)),(((((MIN(($G$5),99))/100))+5.0)/(1-(((MIN(($G$5),99))/100))+5.0))))*100))/100))*0.96)),(((((MIN(($G$4),99))/100))+5.0)/(1-(((MIN(($G$4),99))/100))+5.0))))*100))/100))*0.96)),(((((MIN(($G$3),99))/100))+5.0)/(1-(((MIN(($G$3),99))/100))+5.0))))*100))/100))*0.96)),(((((MIN((G$2),99))/100))+5.0)/(1-(((MIN((G$2),99))/100))+5.0))))*100))/100))*0.96)),(((((MIN(($G$1),99))/100))+5.0)/(1-(((MIN(($G$1),99))/100))+5.0))))*100),0)</f>
        <v/>
      </c>
      <c r="H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(90)/100))*0.96)),(((((MIN((G$8),99))/100))+5.0)/(1-(((MIN((G$8),99))/100))+5.0))))*100))/100))*0.96)),(((((MIN((F8),99))/100))+5.0)/(1-(((MIN((F8),99))/100))+5.0))))*100))/100))*0.96)),(((((MIN(($E8),99))/100))+5.0)/(1-(((MIN(($E8),99))/100))+5.0))))*100))/100))*0.96)),(((((MIN((D8),99))/100))+5.0)/(1-(((MIN((D8),99))/100))+5.0))))*100))/100))*0.96)),(((((MIN(($C8),99))/100))+5.0)/(1-(((MIN(($C8),99))/100))+5.0))))*100))/100))*0.96)),(((((MIN((B8),99))/100))+5.0)/(1-(((MIN((B8),99))/100))+5.0))))*100))/100))*0.96)),(((((MIN(($A$8),99))/100))+5.0)/(1-(((MIN(($A$8),99))/100))+5.0))))*100))/100))*0.96)),(((((MIN((H7),99))/100))+5.0)/(1-(((MIN((H7),99))/100))+5.0))))*100))/100))*0.96)),(((((MIN(($H6),99))/100))+5.0)/(1-(((MIN(($H6),99))/100))+5.0))))*100))/100))*0.96)),(((((MIN(($H5),99))/100))+5.0)/(1-(((MIN(($H5),99))/100))+5.0))))*100))/100))*0.96)),(((((MIN(($H$4),99))/100))+5.0)/(1-(((MIN(($H$4),99))/100))+5.0))))*100))/100))*0.96)),(((((MIN((H3),99))/100))+5.0)/(1-(((MIN((H3),99))/100))+5.0))))*100))/100))*0.96)),(((((MIN(($H2),99))/100))+5.0)/(1-(((MIN(($H2),99))/100))+5.0))))*100))/100))*0.96)),(((((MIN(($H$1),99))/100))+5.0)/(1-(((MIN(($H$1),99))/100))+5.0))))*100),0)</f>
        <v/>
      </c>
      <c r="I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(93)/100))*0.96)),(((((MIN(($H$8),99))/100))+5.0)/(1-(((MIN(($H$8),99))/100))+5.0))))*100))/100))*0.96)),(((((MIN((G8),99))/100))+5.0)/(1-(((MIN((G8),99))/100))+5.0))))*100))/100))*0.96)),(((((MIN(($F8),99))/100))+5.0)/(1-(((MIN(($F8),99))/100))+5.0))))*100))/100))*0.96)),(((((MIN(($E8),99))/100))+5.0)/(1-(((MIN(($E8),99))/100))+5.0))))*100))/100))*0.96)),(((((MIN(($D$8),99))/100))+5.0)/(1-(((MIN(($D$8),99))/100))+5.0))))*100))/100))*0.96)),(((((MIN((C$8),99))/100))+5.0)/(1-(((MIN((C$8),99))/100))+5.0))))*100))/100))*0.96)),(((((MIN((B$8),99))/100))+5.0)/(1-(((MIN((B$8),99))/100))+5.0))))*100))/100))*0.96)),(((((MIN(($A$8),99))/100))+5.0)/(1-(((MIN(($A$8),99))/100))+5.0))))*100))/100))*0.96)),(((((MIN(($I7),99))/100))+5.0)/(1-(((MIN(($I7),99))/100))+5.0))))*100))/100))*0.96)),(((((MIN(($I6),99))/100))+5.0)/(1-(((MIN(($I6),99))/100))+5.0))))*100))/100))*0.96)),(((((MIN(($I$5),99))/100))+5.0)/(1-(((MIN(($I$5),99))/100))+5.0))))*100))/100))*0.96)),(((((MIN(($I$4),99))/100))+5.0)/(1-(((MIN(($I$4),99))/100))+5.0))))*100))/100))*0.96)),(((((MIN(($I$3),99))/100))+5.0)/(1-(((MIN(($I$3),99))/100))+5.0))))*100))/100))*0.96)),(((((MIN(($I2),99))/100))+5.0)/(1-(((MIN(($I2),99))/100))+5.0))))*100))/100))*0.96)),(((((MIN(($I$1),99))/100))+5.0)/(1-(((MIN(($I$1),99))/100))+5.0))))*100),0)</f>
        <v/>
      </c>
      <c r="J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(12)/100))*0.96)),(((((MIN(($I8),99))/100))+5.0)/(1-(((MIN(($I8),99))/100))+5.0))))*100))/100))*0.96)),(((((MIN((H$8),99))/100))+5.0)/(1-(((MIN((H$8),99))/100))+5.0))))*100))/100))*0.96)),(((((MIN(($G$8),99))/100))+5.0)/(1-(((MIN(($G$8),99))/100))+5.0))))*100))/100))*0.96)),(((((MIN((F$8),99))/100))+5.0)/(1-(((MIN((F$8),99))/100))+5.0))))*100))/100))*0.96)),(((((MIN((E$8),99))/100))+5.0)/(1-(((MIN((E$8),99))/100))+5.0))))*100))/100))*0.96)),(((((MIN((D8),99))/100))+5.0)/(1-(((MIN((D8),99))/100))+5.0))))*100))/100))*0.96)),(((((MIN((C$8),99))/100))+5.0)/(1-(((MIN((C$8),99))/100))+5.0))))*100))/100))*0.96)),(((((MIN(($B8),99))/100))+5.0)/(1-(((MIN(($B8),99))/100))+5.0))))*100))/100))*0.96)),(((((MIN((J7),99))/100))+5.0)/(1-(((MIN((J7),99))/100))+5.0))))*100))/100))*0.96)),(((((MIN(($J$6),99))/100))+5.0)/(1-(((MIN(($J$6),99))/100))+5.0))))*100))/100))*0.96)),(((((MIN((J5),99))/100))+5.0)/(1-(((MIN((J5),99))/100))+5.0))))*100))/100))*0.96)),(((((MIN((J4),99))/100))+5.0)/(1-(((MIN((J4),99))/100))+5.0))))*100))/100))*0.96)),(((((MIN(($J3),99))/100))+5.0)/(1-(((MIN(($J3),99))/100))+5.0))))*100))/100))*0.96)),(((((MIN(($J2),99))/100))+5.0)/(1-(((MIN(($J2),99))/100))+5.0))))*100))/100))*0.96)),(((((MIN(($J1),99))/100))+5.0)/(1-(((MIN(($J1),99))/100))+5.0))))*100),0)</f>
        <v/>
      </c>
      <c r="K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(40)/100))*0.96)),(((((MIN((J8),99))/100))+5.0)/(1-(((MIN((J8),99))/100))+5.0))))*100))/100))*0.96)),(((((MIN(($I$8),99))/100))+5.0)/(1-(((MIN(($I$8),99))/100))+5.0))))*100))/100))*0.96)),(((((MIN((H$8),99))/100))+5.0)/(1-(((MIN((H$8),99))/100))+5.0))))*100))/100))*0.96)),(((((MIN((G8),99))/100))+5.0)/(1-(((MIN((G8),99))/100))+5.0))))*100))/100))*0.96)),(((((MIN((F8),99))/100))+5.0)/(1-(((MIN((F8),99))/100))+5.0))))*100))/100))*0.96)),(((((MIN((E8),99))/100))+5.0)/(1-(((MIN((E8),99))/100))+5.0))))*100))/100))*0.96)),(((((MIN(($D$8),99))/100))+5.0)/(1-(((MIN(($D$8),99))/100))+5.0))))*100))/100))*0.96)),(((((MIN((C$8),99))/100))+5.0)/(1-(((MIN((C$8),99))/100))+5.0))))*100))/100))*0.96)),(((((MIN(($K7),99))/100))+5.0)/(1-(((MIN(($K7),99))/100))+5.0))))*100))/100))*0.96)),(((((MIN((K6),99))/100))+5.0)/(1-(((MIN((K6),99))/100))+5.0))))*100))/100))*0.96)),(((((MIN((K$5),99))/100))+5.0)/(1-(((MIN((K$5),99))/100))+5.0))))*100))/100))*0.96)),(((((MIN((K$4),99))/100))+5.0)/(1-(((MIN((K$4),99))/100))+5.0))))*100))/100))*0.96)),(((((MIN(($K3),99))/100))+5.0)/(1-(((MIN(($K3),99))/100))+5.0))))*100))/100))*0.96)),(((((MIN(($K$2),99))/100))+5.0)/(1-(((MIN(($K$2),99))/100))+5.0))))*100))/100))*0.96)),(((((MIN((K$1),99))/100))+5.0)/(1-(((MIN((K$1),99))/100))+5.0))))*100),0)</f>
        <v/>
      </c>
      <c r="L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(10)/100))*0.96)),(((((MIN((K$8),99))/100))+5.0)/(1-(((MIN((K$8),99))/100))+5.0))))*100))/100))*0.96)),(((((MIN(($J$8),99))/100))+5.0)/(1-(((MIN(($J$8),99))/100))+5.0))))*100))/100))*0.96)),(((((MIN((I8),99))/100))+5.0)/(1-(((MIN((I8),99))/100))+5.0))))*100))/100))*0.96)),(((((MIN(($H8),99))/100))+5.0)/(1-(((MIN(($H8),99))/100))+5.0))))*100))/100))*0.96)),(((((MIN(($G8),99))/100))+5.0)/(1-(((MIN(($G8),99))/100))+5.0))))*100))/100))*0.96)),(((((MIN((F$8),99))/100))+5.0)/(1-(((MIN((F$8),99))/100))+5.0))))*100))/100))*0.96)),(((((MIN((E8),99))/100))+5.0)/(1-(((MIN((E8),99))/100))+5.0))))*100))/100))*0.96)),(((((MIN(($D$8),99))/100))+5.0)/(1-(((MIN(($D$8),99))/100))+5.0))))*100))/100))*0.96)),(((((MIN(($L$7),99))/100))+5.0)/(1-(((MIN(($L$7),99))/100))+5.0))))*100))/100))*0.96)),(((((MIN(($L6),99))/100))+5.0)/(1-(((MIN(($L6),99))/100))+5.0))))*100))/100))*0.96)),(((((MIN((L5),99))/100))+5.0)/(1-(((MIN((L5),99))/100))+5.0))))*100))/100))*0.96)),(((((MIN(($L4),99))/100))+5.0)/(1-(((MIN(($L4),99))/100))+5.0))))*100))/100))*0.96)),(((((MIN((L3),99))/100))+5.0)/(1-(((MIN((L3),99))/100))+5.0))))*100))/100))*0.96)),(((((MIN((L$2),99))/100))+5.0)/(1-(((MIN((L$2),99))/100))+5.0))))*100))/100))*0.96)),(((((MIN((L$1),99))/100))+5.0)/(1-(((MIN((L$1),99))/100))+5.0))))*100),0)</f>
        <v/>
      </c>
      <c r="M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(39)/100))*0.96)),(((((MIN((L8),99))/100))+5.0)/(1-(((MIN((L8),99))/100))+5.0))))*100))/100))*0.96)),(((((MIN(($K$8),99))/100))+5.0)/(1-(((MIN(($K$8),99))/100))+5.0))))*100))/100))*0.96)),(((((MIN(($J8),99))/100))+5.0)/(1-(((MIN(($J8),99))/100))+5.0))))*100))/100))*0.96)),(((((MIN(($I8),99))/100))+5.0)/(1-(((MIN(($I8),99))/100))+5.0))))*100))/100))*0.96)),(((((MIN((H8),99))/100))+5.0)/(1-(((MIN((H8),99))/100))+5.0))))*100))/100))*0.96)),(((((MIN(($G$8),99))/100))+5.0)/(1-(((MIN(($G$8),99))/100))+5.0))))*100))/100))*0.96)),(((((MIN((F$8),99))/100))+5.0)/(1-(((MIN((F$8),99))/100))+5.0))))*100))/100))*0.96)),(((((MIN(($E8),99))/100))+5.0)/(1-(((MIN(($E8),99))/100))+5.0))))*100))/100))*0.96)),(((((MIN(($M$7),99))/100))+5.0)/(1-(((MIN(($M$7),99))/100))+5.0))))*100))/100))*0.96)),(((((MIN((M6),99))/100))+5.0)/(1-(((MIN((M6),99))/100))+5.0))))*100))/100))*0.96)),(((((MIN(($M$5),99))/100))+5.0)/(1-(((MIN(($M$5),99))/100))+5.0))))*100))/100))*0.96)),(((((MIN((M$4),99))/100))+5.0)/(1-(((MIN((M$4),99))/100))+5.0))))*100))/100))*0.96)),(((((MIN(($M$3),99))/100))+5.0)/(1-(((MIN(($M$3),99))/100))+5.0))))*100))/100))*0.96)),(((((MIN((M$2),99))/100))+5.0)/(1-(((MIN((M$2),99))/100))+5.0))))*100))/100))*0.96)),(((((MIN((M1),99))/100))+5.0)/(1-(((MIN((M1),99))/100))+5.0))))*100),0)</f>
        <v/>
      </c>
      <c r="N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(54)/100))*0.96)),(((((MIN(($M$8),99))/100))+5.0)/(1-(((MIN(($M$8),99))/100))+5.0))))*100))/100))*0.96)),(((((MIN((L$8),99))/100))+5.0)/(1-(((MIN((L$8),99))/100))+5.0))))*100))/100))*0.96)),(((((MIN((K8),99))/100))+5.0)/(1-(((MIN((K8),99))/100))+5.0))))*100))/100))*0.96)),(((((MIN((J8),99))/100))+5.0)/(1-(((MIN((J8),99))/100))+5.0))))*100))/100))*0.96)),(((((MIN(($I8),99))/100))+5.0)/(1-(((MIN(($I8),99))/100))+5.0))))*100))/100))*0.96)),(((((MIN(($H8),99))/100))+5.0)/(1-(((MIN(($H8),99))/100))+5.0))))*100))/100))*0.96)),(((((MIN((G8),99))/100))+5.0)/(1-(((MIN((G8),99))/100))+5.0))))*100))/100))*0.96)),(((((MIN((F$8),99))/100))+5.0)/(1-(((MIN((F$8),99))/100))+5.0))))*100))/100))*0.96)),(((((MIN(($N7),99))/100))+5.0)/(1-(((MIN(($N7),99))/100))+5.0))))*100))/100))*0.96)),(((((MIN(($N$6),99))/100))+5.0)/(1-(((MIN(($N$6),99))/100))+5.0))))*100))/100))*0.96)),(((((MIN((N5),99))/100))+5.0)/(1-(((MIN((N5),99))/100))+5.0))))*100))/100))*0.96)),(((((MIN((N4),99))/100))+5.0)/(1-(((MIN((N4),99))/100))+5.0))))*100))/100))*0.96)),(((((MIN(($N$3),99))/100))+5.0)/(1-(((MIN(($N$3),99))/100))+5.0))))*100))/100))*0.96)),(((((MIN(($N2),99))/100))+5.0)/(1-(((MIN(($N2),99))/100))+5.0))))*100))/100))*0.96)),(((((MIN((N1),99))/100))+5.0)/(1-(((MIN((N1),99))/100))+5.0))))*100),0)</f>
        <v/>
      </c>
      <c r="O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(53)/100))*0.96)),(((((MIN(($N$8),99))/100))+5.0)/(1-(((MIN(($N$8),99))/100))+5.0))))*100))/100))*0.96)),(((((MIN((M8),99))/100))+5.0)/(1-(((MIN((M8),99))/100))+5.0))))*100))/100))*0.96)),(((((MIN((L8),99))/100))+5.0)/(1-(((MIN((L8),99))/100))+5.0))))*100))/100))*0.96)),(((((MIN(($K$8),99))/100))+5.0)/(1-(((MIN(($K$8),99))/100))+5.0))))*100))/100))*0.96)),(((((MIN((J$8),99))/100))+5.0)/(1-(((MIN((J$8),99))/100))+5.0))))*100))/100))*0.96)),(((((MIN(($I8),99))/100))+5.0)/(1-(((MIN(($I8),99))/100))+5.0))))*100))/100))*0.96)),(((((MIN((H$8),99))/100))+5.0)/(1-(((MIN((H$8),99))/100))+5.0))))*100))/100))*0.96)),(((((MIN((G8),99))/100))+5.0)/(1-(((MIN((G8),99))/100))+5.0))))*100))/100))*0.96)),(((((MIN(($O7),99))/100))+5.0)/(1-(((MIN(($O7),99))/100))+5.0))))*100))/100))*0.96)),(((((MIN((O6),99))/100))+5.0)/(1-(((MIN((O6),99))/100))+5.0))))*100))/100))*0.96)),(((((MIN(($O$5),99))/100))+5.0)/(1-(((MIN(($O$5),99))/100))+5.0))))*100))/100))*0.96)),(((((MIN((O4),99))/100))+5.0)/(1-(((MIN((O4),99))/100))+5.0))))*100))/100))*0.96)),(((((MIN((O3),99))/100))+5.0)/(1-(((MIN((O3),99))/100))+5.0))))*100))/100))*0.96)),(((((MIN(($O2),99))/100))+5.0)/(1-(((MIN(($O2),99))/100))+5.0))))*100))/100))*0.96)),(((((MIN((O1),99))/100))+5.0)/(1-(((MIN((O1),99))/100))+5.0))))*100))/100))*0.96)),(((((MIN((P$8),99))/100))+5.0)/(1-(((MIN((P$8),99))/100))+5.0))))*100),0)</f>
        <v/>
      </c>
      <c r="P8" t="n">
        <v>86</v>
      </c>
      <c r="Q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(89)/100))*0.96)),(((((MIN(($P8),99))/100))+5.0)/(1-(((MIN(($P8),99))/100))+5.0))))*100))/100))*0.96)),(((((MIN(($O8),99))/100))+5.0)/(1-(((MIN(($O8),99))/100))+5.0))))*100))/100))*0.96)),(((((MIN(($N8),99))/100))+5.0)/(1-(((MIN(($N8),99))/100))+5.0))))*100))/100))*0.96)),(((((MIN((M8),99))/100))+5.0)/(1-(((MIN((M8),99))/100))+5.0))))*100))/100))*0.96)),(((((MIN(($L8),99))/100))+5.0)/(1-(((MIN(($L8),99))/100))+5.0))))*100))/100))*0.96)),(((((MIN(($K8),99))/100))+5.0)/(1-(((MIN(($K8),99))/100))+5.0))))*100))/100))*0.96)),(((((MIN((J8),99))/100))+5.0)/(1-(((MIN((J8),99))/100))+5.0))))*100))/100))*0.96)),(((((MIN(($I8),99))/100))+5.0)/(1-(((MIN(($I8),99))/100))+5.0))))*100))/100))*0.96)),(((((MIN(($Q$7),99))/100))+5.0)/(1-(((MIN(($Q$7),99))/100))+5.0))))*100))/100))*0.96)),(((((MIN(($Q$6),99))/100))+5.0)/(1-(((MIN(($Q$6),99))/100))+5.0))))*100))/100))*0.96)),(((((MIN((Q5),99))/100))+5.0)/(1-(((MIN((Q5),99))/100))+5.0))))*100))/100))*0.96)),(((((MIN((Q4),99))/100))+5.0)/(1-(((MIN((Q4),99))/100))+5.0))))*100))/100))*0.96)),(((((MIN(($Q3),99))/100))+5.0)/(1-(((MIN(($Q3),99))/100))+5.0))))*100))/100))*0.96)),(((((MIN((Q2),99))/100))+5.0)/(1-(((MIN((Q2),99))/100))+5.0))))*100))/100))*0.96)),(((((MIN(($Q$1),99))/100))+5.0)/(1-(((MIN(($Q$1),99))/100))+5.0))))*100))/100))*0.96)),(((((MIN((R$9),99))/100))+5.0)/(1-(((MIN((R$9),99))/100))+5.0))))*100),0)</f>
        <v/>
      </c>
      <c r="R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(54)/100))*0.96)),(((((MIN((Q$8),99))/100))+5.0)/(1-(((MIN((Q$8),99))/100))+5.0))))*100))/100))*0.96)),(((((MIN((P$8),99))/100))+5.0)/(1-(((MIN((P$8),99))/100))+5.0))))*100))/100))*0.96)),(((((MIN((O8),99))/100))+5.0)/(1-(((MIN((O8),99))/100))+5.0))))*100))/100))*0.96)),(((((MIN((N$8),99))/100))+5.0)/(1-(((MIN((N$8),99))/100))+5.0))))*100))/100))*0.96)),(((((MIN(($M8),99))/100))+5.0)/(1-(((MIN(($M8),99))/100))+5.0))))*100))/100))*0.96)),(((((MIN((L$8),99))/100))+5.0)/(1-(((MIN((L$8),99))/100))+5.0))))*100))/100))*0.96)),(((((MIN((K$8),99))/100))+5.0)/(1-(((MIN((K$8),99))/100))+5.0))))*100))/100))*0.96)),(((((MIN((J8),99))/100))+5.0)/(1-(((MIN((J8),99))/100))+5.0))))*100))/100))*0.96)),(((((MIN((R7),99))/100))+5.0)/(1-(((MIN((R7),99))/100))+5.0))))*100))/100))*0.96)),(((((MIN(($R$6),99))/100))+5.0)/(1-(((MIN(($R$6),99))/100))+5.0))))*100))/100))*0.96)),(((((MIN((R5),99))/100))+5.0)/(1-(((MIN((R5),99))/100))+5.0))))*100))/100))*0.96)),(((((MIN(($R$4),99))/100))+5.0)/(1-(((MIN(($R$4),99))/100))+5.0))))*100))/100))*0.96)),(((((MIN((R3),99))/100))+5.0)/(1-(((MIN((R3),99))/100))+5.0))))*100))/100))*0.96)),(((((MIN((R2),99))/100))+5.0)/(1-(((MIN((R2),99))/100))+5.0))))*100))/100))*0.96)),(((((MIN((R$1),99))/100))+5.0)/(1-(((MIN((R$1),99))/100))+5.0))))*100))/100))*0.96)),(((((MIN((R$9),99))/100))+5.0)/(1-(((MIN((R$9),99))/100))+5.0))))*100),0)</f>
        <v/>
      </c>
      <c r="S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(53)/100))*0.96)),(((((MIN((R$8),99))/100))+5.0)/(1-(((MIN((R$8),99))/100))+5.0))))*100))/100))*0.96)),(((((MIN(($Q8),99))/100))+5.0)/(1-(((MIN(($Q8),99))/100))+5.0))))*100))/100))*0.96)),(((((MIN(($P$8),99))/100))+5.0)/(1-(((MIN(($P$8),99))/100))+5.0))))*100))/100))*0.96)),(((((MIN((O8),99))/100))+5.0)/(1-(((MIN((O8),99))/100))+5.0))))*100))/100))*0.96)),(((((MIN((N$8),99))/100))+5.0)/(1-(((MIN((N$8),99))/100))+5.0))))*100))/100))*0.96)),(((((MIN(($M$8),99))/100))+5.0)/(1-(((MIN(($M$8),99))/100))+5.0))))*100))/100))*0.96)),(((((MIN(($L8),99))/100))+5.0)/(1-(((MIN(($L8),99))/100))+5.0))))*100))/100))*0.96)),(((((MIN(($K$8),99))/100))+5.0)/(1-(((MIN(($K$8),99))/100))+5.0))))*100))/100))*0.96)),(((((MIN((S7),99))/100))+5.0)/(1-(((MIN((S7),99))/100))+5.0))))*100))/100))*0.96)),(((((MIN((S$6),99))/100))+5.0)/(1-(((MIN((S$6),99))/100))+5.0))))*100))/100))*0.96)),(((((MIN(($S5),99))/100))+5.0)/(1-(((MIN(($S5),99))/100))+5.0))))*100))/100))*0.96)),(((((MIN(($S$4),99))/100))+5.0)/(1-(((MIN(($S$4),99))/100))+5.0))))*100))/100))*0.96)),(((((MIN((S3),99))/100))+5.0)/(1-(((MIN((S3),99))/100))+5.0))))*100))/100))*0.96)),(((((MIN(($S2),99))/100))+5.0)/(1-(((MIN(($S2),99))/100))+5.0))))*100))/100))*0.96)),(((((MIN((S1),99))/100))+5.0)/(1-(((MIN((S1),99))/100))+5.0))))*100),0)</f>
        <v/>
      </c>
      <c r="T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(51)/100))*0.96)),(((((MIN((S8),99))/100))+5.0)/(1-(((MIN((S8),99))/100))+5.0))))*100))/100))*0.96)),(((((MIN(($R8),99))/100))+5.0)/(1-(((MIN(($R8),99))/100))+5.0))))*100))/100))*0.96)),(((((MIN(($Q$8),99))/100))+5.0)/(1-(((MIN(($Q$8),99))/100))+5.0))))*100))/100))*0.96)),(((((MIN(($P$8),99))/100))+5.0)/(1-(((MIN(($P$8),99))/100))+5.0))))*100))/100))*0.96)),(((((MIN(($O$8),99))/100))+5.0)/(1-(((MIN(($O$8),99))/100))+5.0))))*100))/100))*0.96)),(((((MIN(($N$8),99))/100))+5.0)/(1-(((MIN(($N$8),99))/100))+5.0))))*100))/100))*0.96)),(((((MIN(($M$8),99))/100))+5.0)/(1-(((MIN(($M$8),99))/100))+5.0))))*100))/100))*0.96)),(((((MIN(($L8),99))/100))+5.0)/(1-(((MIN(($L8),99))/100))+5.0))))*100))/100))*0.96)),(((((MIN(($T7),99))/100))+5.0)/(1-(((MIN(($T7),99))/100))+5.0))))*100))/100))*0.96)),(((((MIN((T6),99))/100))+5.0)/(1-(((MIN((T6),99))/100))+5.0))))*100))/100))*0.96)),(((((MIN((T$5),99))/100))+5.0)/(1-(((MIN((T$5),99))/100))+5.0))))*100))/100))*0.96)),(((((MIN((T4),99))/100))+5.0)/(1-(((MIN((T4),99))/100))+5.0))))*100))/100))*0.96)),(((((MIN((T3),99))/100))+5.0)/(1-(((MIN((T3),99))/100))+5.0))))*100))/100))*0.96)),(((((MIN(($T$2),99))/100))+5.0)/(1-(((MIN(($T$2),99))/100))+5.0))))*100))/100))*0.96)),(((((MIN((T1),99))/100))+5.0)/(1-(((MIN((T1),99))/100))+5.0))))*100),0)</f>
        <v/>
      </c>
    </row>
    <row r="9">
      <c r="A9">
        <f>ROUND(((1-POWER(1-((0.02+(((((1-POWER(1-((0.02+(((((1-POWER(1-((0.02+(((((1-POWER(1-((0.02+(((((1-POWER(1-((0.02+(((((1-POWER(1-((0.02+(((((1-POWER(1-((0.02+(((((1-POWER(1-((0.02+(((37)/100))*0.96)),(((((MIN((A$8),99))/100))+5.0)/(1-(((MIN((A$8),99))/100))+5.0))))*100))/100))*0.96)),(((((MIN((A$7),99))/100))+5.0)/(1-(((MIN((A$7),99))/100))+5.0))))*100))/100))*0.96)),(((((MIN((A6),99))/100))+5.0)/(1-(((MIN((A6),99))/100))+5.0))))*100))/100))*0.96)),(((((MIN((A5),99))/100))+5.0)/(1-(((MIN((A5),99))/100))+5.0))))*100))/100))*0.96)),(((((MIN(($A4),99))/100))+5.0)/(1-(((MIN(($A4),99))/100))+5.0))))*100))/100))*0.96)),(((((MIN((A$3),99))/100))+5.0)/(1-(((MIN((A$3),99))/100))+5.0))))*100))/100))*0.96)),(((((MIN(($A2),99))/100))+5.0)/(1-(((MIN(($A2),99))/100))+5.0))))*100))/100))*0.96)),(((((MIN(($A$1),99))/100))+5.0)/(1-(((MIN(($A$1),99))/100))+5.0))))*100),0)</f>
        <v/>
      </c>
      <c r="B9">
        <f>ROUND(((1-POWER(1-((0.02+(((((1-POWER(1-((0.02+(((((1-POWER(1-((0.02+(((((1-POWER(1-((0.02+(((((1-POWER(1-((0.02+(((((1-POWER(1-((0.02+(((((1-POWER(1-((0.02+(((((1-POWER(1-((0.02+(((((1-POWER(1-((0.02+(((41)/100))*0.96)),(((((MIN(($A$9),99))/100))+5.0)/(1-(((MIN(($A$9),99))/100))+5.0))))*100))/100))*0.96)),(((((MIN(($B8),99))/100))+5.0)/(1-(((MIN(($B8),99))/100))+5.0))))*100))/100))*0.96)),(((((MIN((B$7),99))/100))+5.0)/(1-(((MIN((B$7),99))/100))+5.0))))*100))/100))*0.96)),(((((MIN(($B$6),99))/100))+5.0)/(1-(((MIN(($B$6),99))/100))+5.0))))*100))/100))*0.96)),(((((MIN(($B$5),99))/100))+5.0)/(1-(((MIN(($B$5),99))/100))+5.0))))*100))/100))*0.96)),(((((MIN(($B$4),99))/100))+5.0)/(1-(((MIN(($B$4),99))/100))+5.0))))*100))/100))*0.96)),(((((MIN(($B3),99))/100))+5.0)/(1-(((MIN(($B3),99))/100))+5.0))))*100))/100))*0.96)),(((((MIN(($B$2),99))/100))+5.0)/(1-(((MIN(($B$2),99))/100))+5.0))))*100))/100))*0.96)),(((((MIN((B1),99))/100))+5.0)/(1-(((MIN((B1),99))/100))+5.0))))*100),0)</f>
        <v/>
      </c>
      <c r="C9">
        <f>ROUND(((1-POWER(1-((0.02+(((((1-POWER(1-((0.02+(((((1-POWER(1-((0.02+(((((1-POWER(1-((0.02+(((((1-POWER(1-((0.02+(((((1-POWER(1-((0.02+(((((1-POWER(1-((0.02+(((((1-POWER(1-((0.02+(((((1-POWER(1-((0.02+(((((1-POWER(1-((0.02+(((17)/100))*0.96)),(((((MIN(($B$9),99))/100))+5.0)/(1-(((MIN(($B$9),99))/100))+5.0))))*100))/100))*0.96)),(((((MIN((A$9),99))/100))+5.0)/(1-(((MIN((A$9),99))/100))+5.0))))*100))/100))*0.96)),(((((MIN(($C8),99))/100))+5.0)/(1-(((MIN(($C8),99))/100))+5.0))))*100))/100))*0.96)),(((((MIN((C$7),99))/100))+5.0)/(1-(((MIN((C$7),99))/100))+5.0))))*100))/100))*0.96)),(((((MIN((C6),99))/100))+5.0)/(1-(((MIN((C6),99))/100))+5.0))))*100))/100))*0.96)),(((((MIN(($C$5),99))/100))+5.0)/(1-(((MIN(($C$5),99))/100))+5.0))))*100))/100))*0.96)),(((((MIN(($C$4),99))/100))+5.0)/(1-(((MIN(($C$4),99))/100))+5.0))))*100))/100))*0.96)),(((((MIN((C$3),99))/100))+5.0)/(1-(((MIN((C$3),99))/100))+5.0))))*100))/100))*0.96)),(((((MIN((C2),99))/100))+5.0)/(1-(((MIN((C2),99))/100))+5.0))))*100))/100))*0.96)),(((((MIN(($C1),99))/100))+5.0)/(1-(((MIN(($C1),99))/100))+5.0))))*100),0)</f>
        <v/>
      </c>
      <c r="D9">
        <f>ROUND(((1-POWER(1-((0.02+(((((1-POWER(1-((0.02+(((((1-POWER(1-((0.02+(((((1-POWER(1-((0.02+(((((1-POWER(1-((0.02+(((((1-POWER(1-((0.02+(((((1-POWER(1-((0.02+(((((1-POWER(1-((0.02+(((((1-POWER(1-((0.02+(((((1-POWER(1-((0.02+(((((1-POWER(1-((0.02+(((23)/100))*0.96)),(((((MIN(($C$9),99))/100))+5.0)/(1-(((MIN(($C$9),99))/100))+5.0))))*100))/100))*0.96)),(((((MIN(($B9),99))/100))+5.0)/(1-(((MIN(($B9),99))/100))+5.0))))*100))/100))*0.96)),(((((MIN(($A$9),99))/100))+5.0)/(1-(((MIN(($A$9),99))/100))+5.0))))*100))/100))*0.96)),(((((MIN(($D8),99))/100))+5.0)/(1-(((MIN(($D8),99))/100))+5.0))))*100))/100))*0.96)),(((((MIN((D$7),99))/100))+5.0)/(1-(((MIN((D$7),99))/100))+5.0))))*100))/100))*0.96)),(((((MIN(($D6),99))/100))+5.0)/(1-(((MIN(($D6),99))/100))+5.0))))*100))/100))*0.96)),(((((MIN(($D$5),99))/100))+5.0)/(1-(((MIN(($D$5),99))/100))+5.0))))*100))/100))*0.96)),(((((MIN(($D$4),99))/100))+5.0)/(1-(((MIN(($D$4),99))/100))+5.0))))*100))/100))*0.96)),(((((MIN(($D3),99))/100))+5.0)/(1-(((MIN(($D3),99))/100))+5.0))))*100))/100))*0.96)),(((((MIN(($D2),99))/100))+5.0)/(1-(((MIN(($D2),99))/100))+5.0))))*100))/100))*0.96)),(((((MIN((D1),99))/100))+5.0)/(1-(((MIN((D1),99))/100))+5.0))))*100),0)</f>
        <v/>
      </c>
      <c r="E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(73)/100))*0.96)),(((((MIN((D9),99))/100))+5.0)/(1-(((MIN((D9),99))/100))+5.0))))*100))/100))*0.96)),(((((MIN((C9),99))/100))+5.0)/(1-(((MIN((C9),99))/100))+5.0))))*100))/100))*0.96)),(((((MIN((B9),99))/100))+5.0)/(1-(((MIN((B9),99))/100))+5.0))))*100))/100))*0.96)),(((((MIN((A9),99))/100))+5.0)/(1-(((MIN((A9),99))/100))+5.0))))*100))/100))*0.96)),(((((MIN(($E$8),99))/100))+5.0)/(1-(((MIN(($E$8),99))/100))+5.0))))*100))/100))*0.96)),(((((MIN((E$7),99))/100))+5.0)/(1-(((MIN((E$7),99))/100))+5.0))))*100))/100))*0.96)),(((((MIN((E$6),99))/100))+5.0)/(1-(((MIN((E$6),99))/100))+5.0))))*100))/100))*0.96)),(((((MIN(($E$5),99))/100))+5.0)/(1-(((MIN(($E$5),99))/100))+5.0))))*100))/100))*0.96)),(((((MIN((E$4),99))/100))+5.0)/(1-(((MIN((E$4),99))/100))+5.0))))*100))/100))*0.96)),(((((MIN((E$3),99))/100))+5.0)/(1-(((MIN((E$3),99))/100))+5.0))))*100))/100))*0.96)),(((((MIN((E$2),99))/100))+5.0)/(1-(((MIN((E$2),99))/100))+5.0))))*100))/100))*0.96)),(((((MIN((E$1),99))/100))+5.0)/(1-(((MIN((E$1),99))/100))+5.0))))*100),0)</f>
        <v/>
      </c>
      <c r="F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(60)/100))*0.96)),(((((MIN(($E9),99))/100))+5.0)/(1-(((MIN(($E9),99))/100))+5.0))))*100))/100))*0.96)),(((((MIN(($D9),99))/100))+5.0)/(1-(((MIN(($D9),99))/100))+5.0))))*100))/100))*0.96)),(((((MIN(($C$9),99))/100))+5.0)/(1-(((MIN(($C$9),99))/100))+5.0))))*100))/100))*0.96)),(((((MIN(($B9),99))/100))+5.0)/(1-(((MIN(($B9),99))/100))+5.0))))*100))/100))*0.96)),(((((MIN((A9),99))/100))+5.0)/(1-(((MIN((A9),99))/100))+5.0))))*100))/100))*0.96)),(((((MIN(($F$8),99))/100))+5.0)/(1-(((MIN(($F$8),99))/100))+5.0))))*100))/100))*0.96)),(((((MIN((F7),99))/100))+5.0)/(1-(((MIN((F7),99))/100))+5.0))))*100))/100))*0.96)),(((((MIN((F$6),99))/100))+5.0)/(1-(((MIN((F$6),99))/100))+5.0))))*100))/100))*0.96)),(((((MIN((F$5),99))/100))+5.0)/(1-(((MIN((F$5),99))/100))+5.0))))*100))/100))*0.96)),(((((MIN(($F4),99))/100))+5.0)/(1-(((MIN(($F4),99))/100))+5.0))))*100))/100))*0.96)),(((((MIN((F3),99))/100))+5.0)/(1-(((MIN((F3),99))/100))+5.0))))*100))/100))*0.96)),(((((MIN((F$2),99))/100))+5.0)/(1-(((MIN((F$2),99))/100))+5.0))))*100))/100))*0.96)),(((((MIN(($F$1),99))/100))+5.0)/(1-(((MIN(($F$1),99))/100))+5.0))))*100),0)</f>
        <v/>
      </c>
      <c r="G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(59)/100))*0.96)),(((((MIN(($F$9),99))/100))+5.0)/(1-(((MIN(($F$9),99))/100))+5.0))))*100))/100))*0.96)),(((((MIN((E9),99))/100))+5.0)/(1-(((MIN((E9),99))/100))+5.0))))*100))/100))*0.96)),(((((MIN((D$9),99))/100))+5.0)/(1-(((MIN((D$9),99))/100))+5.0))))*100))/100))*0.96)),(((((MIN(($C9),99))/100))+5.0)/(1-(((MIN(($C9),99))/100))+5.0))))*100))/100))*0.96)),(((((MIN((B$9),99))/100))+5.0)/(1-(((MIN((B$9),99))/100))+5.0))))*100))/100))*0.96)),(((((MIN(($A$9),99))/100))+5.0)/(1-(((MIN(($A$9),99))/100))+5.0))))*100))/100))*0.96)),(((((MIN(($G$8),99))/100))+5.0)/(1-(((MIN(($G$8),99))/100))+5.0))))*100))/100))*0.96)),(((((MIN((G7),99))/100))+5.0)/(1-(((MIN((G7),99))/100))+5.0))))*100))/100))*0.96)),(((((MIN(($G6),99))/100))+5.0)/(1-(((MIN(($G6),99))/100))+5.0))))*100))/100))*0.96)),(((((MIN(($G$5),99))/100))+5.0)/(1-(((MIN(($G$5),99))/100))+5.0))))*100))/100))*0.96)),(((((MIN(($G4),99))/100))+5.0)/(1-(((MIN(($G4),99))/100))+5.0))))*100))/100))*0.96)),(((((MIN(($G$3),99))/100))+5.0)/(1-(((MIN(($G$3),99))/100))+5.0))))*100))/100))*0.96)),(((((MIN((G$2),99))/100))+5.0)/(1-(((MIN((G$2),99))/100))+5.0))))*100))/100))*0.96)),(((((MIN((G1),99))/100))+5.0)/(1-(((MIN((G1),99))/100))+5.0))))*100),0)</f>
        <v/>
      </c>
      <c r="H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(18)/100))*0.96)),(((((MIN((G$9),99))/100))+5.0)/(1-(((MIN((G$9),99))/100))+5.0))))*100))/100))*0.96)),(((((MIN((F9),99))/100))+5.0)/(1-(((MIN((F9),99))/100))+5.0))))*100))/100))*0.96)),(((((MIN(($E$9),99))/100))+5.0)/(1-(((MIN(($E$9),99))/100))+5.0))))*100))/100))*0.96)),(((((MIN(($D$9),99))/100))+5.0)/(1-(((MIN(($D$9),99))/100))+5.0))))*100))/100))*0.96)),(((((MIN((C9),99))/100))+5.0)/(1-(((MIN((C9),99))/100))+5.0))))*100))/100))*0.96)),(((((MIN((B9),99))/100))+5.0)/(1-(((MIN((B9),99))/100))+5.0))))*100))/100))*0.96)),(((((MIN(($A9),99))/100))+5.0)/(1-(((MIN(($A9),99))/100))+5.0))))*100))/100))*0.96)),(((((MIN(($H8),99))/100))+5.0)/(1-(((MIN(($H8),99))/100))+5.0))))*100))/100))*0.96)),(((((MIN((H7),99))/100))+5.0)/(1-(((MIN((H7),99))/100))+5.0))))*100))/100))*0.96)),(((((MIN(($H6),99))/100))+5.0)/(1-(((MIN(($H6),99))/100))+5.0))))*100))/100))*0.96)),(((((MIN(($H5),99))/100))+5.0)/(1-(((MIN(($H5),99))/100))+5.0))))*100))/100))*0.96)),(((((MIN((H4),99))/100))+5.0)/(1-(((MIN((H4),99))/100))+5.0))))*100))/100))*0.96)),(((((MIN((H$3),99))/100))+5.0)/(1-(((MIN((H$3),99))/100))+5.0))))*100))/100))*0.96)),(((((MIN(($H2),99))/100))+5.0)/(1-(((MIN(($H2),99))/100))+5.0))))*100))/100))*0.96)),(((((MIN(($H$1),99))/100))+5.0)/(1-(((MIN(($H$1),99))/100))+5.0))))*100),0)</f>
        <v/>
      </c>
      <c r="I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(70)/100))*0.96)),(((((MIN(($H9),99))/100))+5.0)/(1-(((MIN(($H9),99))/100))+5.0))))*100))/100))*0.96)),(((((MIN(($G$9),99))/100))+5.0)/(1-(((MIN(($G$9),99))/100))+5.0))))*100))/100))*0.96)),(((((MIN((F9),99))/100))+5.0)/(1-(((MIN((F9),99))/100))+5.0))))*100))/100))*0.96)),(((((MIN((E$9),99))/100))+5.0)/(1-(((MIN((E$9),99))/100))+5.0))))*100))/100))*0.96)),(((((MIN(($D9),99))/100))+5.0)/(1-(((MIN(($D9),99))/100))+5.0))))*100))/100))*0.96)),(((((MIN((C9),99))/100))+5.0)/(1-(((MIN((C9),99))/100))+5.0))))*100))/100))*0.96)),(((((MIN((B$9),99))/100))+5.0)/(1-(((MIN((B$9),99))/100))+5.0))))*100))/100))*0.96)),(((((MIN(($A$9),99))/100))+5.0)/(1-(((MIN(($A$9),99))/100))+5.0))))*100))/100))*0.96)),(((((MIN((I8),99))/100))+5.0)/(1-(((MIN((I8),99))/100))+5.0))))*100))/100))*0.96)),(((((MIN(($I7),99))/100))+5.0)/(1-(((MIN(($I7),99))/100))+5.0))))*100))/100))*0.96)),(((((MIN(($I6),99))/100))+5.0)/(1-(((MIN(($I6),99))/100))+5.0))))*100))/100))*0.96)),(((((MIN(($I$5),99))/100))+5.0)/(1-(((MIN(($I$5),99))/100))+5.0))))*100))/100))*0.96)),(((((MIN((I$4),99))/100))+5.0)/(1-(((MIN((I$4),99))/100))+5.0))))*100))/100))*0.96)),(((((MIN(($I3),99))/100))+5.0)/(1-(((MIN(($I3),99))/100))+5.0))))*100))/100))*0.96)),(((((MIN(($I2),99))/100))+5.0)/(1-(((MIN(($I2),99))/100))+5.0))))*100))/100))*0.96)),(((((MIN(($I1),99))/100))+5.0)/(1-(((MIN(($I1),99))/100))+5.0))))*100),0)</f>
        <v/>
      </c>
      <c r="J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(68)/100))*0.96)),(((((MIN(($I9),99))/100))+5.0)/(1-(((MIN(($I9),99))/100))+5.0))))*100))/100))*0.96)),(((((MIN((H9),99))/100))+5.0)/(1-(((MIN((H9),99))/100))+5.0))))*100))/100))*0.96)),(((((MIN((G9),99))/100))+5.0)/(1-(((MIN((G9),99))/100))+5.0))))*100))/100))*0.96)),(((((MIN((F9),99))/100))+5.0)/(1-(((MIN((F9),99))/100))+5.0))))*100))/100))*0.96)),(((((MIN((E9),99))/100))+5.0)/(1-(((MIN((E9),99))/100))+5.0))))*100))/100))*0.96)),(((((MIN((D$9),99))/100))+5.0)/(1-(((MIN((D$9),99))/100))+5.0))))*100))/100))*0.96)),(((((MIN(($C$9),99))/100))+5.0)/(1-(((MIN(($C$9),99))/100))+5.0))))*100))/100))*0.96)),(((((MIN(($B9),99))/100))+5.0)/(1-(((MIN(($B9),99))/100))+5.0))))*100))/100))*0.96)),(((((MIN(($J$8),99))/100))+5.0)/(1-(((MIN(($J$8),99))/100))+5.0))))*100))/100))*0.96)),(((((MIN(($J7),99))/100))+5.0)/(1-(((MIN(($J7),99))/100))+5.0))))*100))/100))*0.96)),(((((MIN(($J6),99))/100))+5.0)/(1-(((MIN(($J6),99))/100))+5.0))))*100))/100))*0.96)),(((((MIN(($J$5),99))/100))+5.0)/(1-(((MIN(($J$5),99))/100))+5.0))))*100))/100))*0.96)),(((((MIN((J$4),99))/100))+5.0)/(1-(((MIN((J$4),99))/100))+5.0))))*100))/100))*0.96)),(((((MIN((J3),99))/100))+5.0)/(1-(((MIN((J3),99))/100))+5.0))))*100))/100))*0.96)),(((((MIN((J2),99))/100))+5.0)/(1-(((MIN((J2),99))/100))+5.0))))*100))/100))*0.96)),(((((MIN(($J1),99))/100))+5.0)/(1-(((MIN(($J1),99))/100))+5.0))))*100),0)</f>
        <v/>
      </c>
      <c r="K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(23)/100))*0.96)),(((((MIN((J$9),99))/100))+5.0)/(1-(((MIN((J$9),99))/100))+5.0))))*100))/100))*0.96)),(((((MIN(($I9),99))/100))+5.0)/(1-(((MIN(($I9),99))/100))+5.0))))*100))/100))*0.96)),(((((MIN((H$9),99))/100))+5.0)/(1-(((MIN((H$9),99))/100))+5.0))))*100))/100))*0.96)),(((((MIN(($G$9),99))/100))+5.0)/(1-(((MIN(($G$9),99))/100))+5.0))))*100))/100))*0.96)),(((((MIN(($F$9),99))/100))+5.0)/(1-(((MIN(($F$9),99))/100))+5.0))))*100))/100))*0.96)),(((((MIN((E$9),99))/100))+5.0)/(1-(((MIN((E$9),99))/100))+5.0))))*100))/100))*0.96)),(((((MIN((D9),99))/100))+5.0)/(1-(((MIN((D9),99))/100))+5.0))))*100))/100))*0.96)),(((((MIN(($C9),99))/100))+5.0)/(1-(((MIN(($C9),99))/100))+5.0))))*100))/100))*0.96)),(((((MIN((K8),99))/100))+5.0)/(1-(((MIN((K8),99))/100))+5.0))))*100))/100))*0.96)),(((((MIN(($K$7),99))/100))+5.0)/(1-(((MIN(($K$7),99))/100))+5.0))))*100))/100))*0.96)),(((((MIN(($K$6),99))/100))+5.0)/(1-(((MIN(($K$6),99))/100))+5.0))))*100))/100))*0.96)),(((((MIN(($K$5),99))/100))+5.0)/(1-(((MIN(($K$5),99))/100))+5.0))))*100))/100))*0.96)),(((((MIN(($K$4),99))/100))+5.0)/(1-(((MIN(($K$4),99))/100))+5.0))))*100))/100))*0.96)),(((((MIN((K3),99))/100))+5.0)/(1-(((MIN((K3),99))/100))+5.0))))*100))/100))*0.96)),(((((MIN((K2),99))/100))+5.0)/(1-(((MIN((K2),99))/100))+5.0))))*100))/100))*0.96)),(((((MIN(($K$1),99))/100))+5.0)/(1-(((MIN(($K$1),99))/100))+5.0))))*100),0)</f>
        <v/>
      </c>
      <c r="L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(87)/100))*0.96)),(((((MIN(($K9),99))/100))+5.0)/(1-(((MIN(($K9),99))/100))+5.0))))*100))/100))*0.96)),(((((MIN((J9),99))/100))+5.0)/(1-(((MIN((J9),99))/100))+5.0))))*100))/100))*0.96)),(((((MIN(($I$9),99))/100))+5.0)/(1-(((MIN(($I$9),99))/100))+5.0))))*100))/100))*0.96)),(((((MIN(($H$9),99))/100))+5.0)/(1-(((MIN(($H$9),99))/100))+5.0))))*100))/100))*0.96)),(((((MIN((G$9),99))/100))+5.0)/(1-(((MIN((G$9),99))/100))+5.0))))*100))/100))*0.96)),(((((MIN(($F9),99))/100))+5.0)/(1-(((MIN(($F9),99))/100))+5.0))))*100))/100))*0.96)),(((((MIN((E9),99))/100))+5.0)/(1-(((MIN((E9),99))/100))+5.0))))*100))/100))*0.96)),(((((MIN(($D9),99))/100))+5.0)/(1-(((MIN(($D9),99))/100))+5.0))))*100))/100))*0.96)),(((((MIN(($L$8),99))/100))+5.0)/(1-(((MIN(($L$8),99))/100))+5.0))))*100))/100))*0.96)),(((((MIN((L7),99))/100))+5.0)/(1-(((MIN((L7),99))/100))+5.0))))*100))/100))*0.96)),(((((MIN(($L$6),99))/100))+5.0)/(1-(((MIN(($L$6),99))/100))+5.0))))*100))/100))*0.96)),(((((MIN((L5),99))/100))+5.0)/(1-(((MIN((L5),99))/100))+5.0))))*100))/100))*0.96)),(((((MIN((L$4),99))/100))+5.0)/(1-(((MIN((L$4),99))/100))+5.0))))*100))/100))*0.96)),(((((MIN((L3),99))/100))+5.0)/(1-(((MIN((L3),99))/100))+5.0))))*100))/100))*0.96)),(((((MIN(($L$2),99))/100))+5.0)/(1-(((MIN(($L$2),99))/100))+5.0))))*100))/100))*0.96)),(((((MIN(($L$1),99))/100))+5.0)/(1-(((MIN(($L$1),99))/100))+5.0))))*100),0)</f>
        <v/>
      </c>
      <c r="M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(87)/100))*0.96)),(((((MIN((L$9),99))/100))+5.0)/(1-(((MIN((L$9),99))/100))+5.0))))*100))/100))*0.96)),(((((MIN(($K9),99))/100))+5.0)/(1-(((MIN(($K9),99))/100))+5.0))))*100))/100))*0.96)),(((((MIN((J9),99))/100))+5.0)/(1-(((MIN((J9),99))/100))+5.0))))*100))/100))*0.96)),(((((MIN((I9),99))/100))+5.0)/(1-(((MIN((I9),99))/100))+5.0))))*100))/100))*0.96)),(((((MIN((H$9),99))/100))+5.0)/(1-(((MIN((H$9),99))/100))+5.0))))*100))/100))*0.96)),(((((MIN((G9),99))/100))+5.0)/(1-(((MIN((G9),99))/100))+5.0))))*100))/100))*0.96)),(((((MIN((F$9),99))/100))+5.0)/(1-(((MIN((F$9),99))/100))+5.0))))*100))/100))*0.96)),(((((MIN((E$9),99))/100))+5.0)/(1-(((MIN((E$9),99))/100))+5.0))))*100))/100))*0.96)),(((((MIN((M8),99))/100))+5.0)/(1-(((MIN((M8),99))/100))+5.0))))*100))/100))*0.96)),(((((MIN(($M$7),99))/100))+5.0)/(1-(((MIN(($M$7),99))/100))+5.0))))*100))/100))*0.96)),(((((MIN((M$6),99))/100))+5.0)/(1-(((MIN((M$6),99))/100))+5.0))))*100))/100))*0.96)),(((((MIN((M$5),99))/100))+5.0)/(1-(((MIN((M$5),99))/100))+5.0))))*100))/100))*0.96)),(((((MIN((M4),99))/100))+5.0)/(1-(((MIN((M4),99))/100))+5.0))))*100))/100))*0.96)),(((((MIN(($M3),99))/100))+5.0)/(1-(((MIN(($M3),99))/100))+5.0))))*100))/100))*0.96)),(((((MIN((M2),99))/100))+5.0)/(1-(((MIN((M2),99))/100))+5.0))))*100))/100))*0.96)),(((((MIN(($M$1),99))/100))+5.0)/(1-(((MIN(($M$1),99))/100))+5.0))))*100),0)</f>
        <v/>
      </c>
      <c r="N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(31)/100))*0.96)),(((((MIN((M9),99))/100))+5.0)/(1-(((MIN((M9),99))/100))+5.0))))*100))/100))*0.96)),(((((MIN((L$9),99))/100))+5.0)/(1-(((MIN((L$9),99))/100))+5.0))))*100))/100))*0.96)),(((((MIN(($K9),99))/100))+5.0)/(1-(((MIN(($K9),99))/100))+5.0))))*100))/100))*0.96)),(((((MIN(($J9),99))/100))+5.0)/(1-(((MIN(($J9),99))/100))+5.0))))*100))/100))*0.96)),(((((MIN(($I9),99))/100))+5.0)/(1-(((MIN(($I9),99))/100))+5.0))))*100))/100))*0.96)),(((((MIN((H$9),99))/100))+5.0)/(1-(((MIN((H$9),99))/100))+5.0))))*100))/100))*0.96)),(((((MIN((G9),99))/100))+5.0)/(1-(((MIN((G9),99))/100))+5.0))))*100))/100))*0.96)),(((((MIN((F$9),99))/100))+5.0)/(1-(((MIN((F$9),99))/100))+5.0))))*100))/100))*0.96)),(((((MIN(($N8),99))/100))+5.0)/(1-(((MIN(($N8),99))/100))+5.0))))*100))/100))*0.96)),(((((MIN((N7),99))/100))+5.0)/(1-(((MIN((N7),99))/100))+5.0))))*100))/100))*0.96)),(((((MIN(($N$6),99))/100))+5.0)/(1-(((MIN(($N$6),99))/100))+5.0))))*100))/100))*0.96)),(((((MIN(($N$5),99))/100))+5.0)/(1-(((MIN(($N$5),99))/100))+5.0))))*100))/100))*0.96)),(((((MIN((N$4),99))/100))+5.0)/(1-(((MIN((N$4),99))/100))+5.0))))*100))/100))*0.96)),(((((MIN(($N$3),99))/100))+5.0)/(1-(((MIN(($N$3),99))/100))+5.0))))*100))/100))*0.96)),(((((MIN(($N2),99))/100))+5.0)/(1-(((MIN(($N2),99))/100))+5.0))))*100))/100))*0.96)),(((((MIN(($N$1),99))/100))+5.0)/(1-(((MIN(($N$1),99))/100))+5.0))))*100),0)</f>
        <v/>
      </c>
      <c r="O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(86)/100))*0.96)),(((((MIN((N$9),99))/100))+5.0)/(1-(((MIN((N$9),99))/100))+5.0))))*100))/100))*0.96)),(((((MIN((M9),99))/100))+5.0)/(1-(((MIN((M9),99))/100))+5.0))))*100))/100))*0.96)),(((((MIN(($L$9),99))/100))+5.0)/(1-(((MIN(($L$9),99))/100))+5.0))))*100))/100))*0.96)),(((((MIN(($K$9),99))/100))+5.0)/(1-(((MIN(($K$9),99))/100))+5.0))))*100))/100))*0.96)),(((((MIN((J9),99))/100))+5.0)/(1-(((MIN((J9),99))/100))+5.0))))*100))/100))*0.96)),(((((MIN((I$9),99))/100))+5.0)/(1-(((MIN((I$9),99))/100))+5.0))))*100))/100))*0.96)),(((((MIN((H$9),99))/100))+5.0)/(1-(((MIN((H$9),99))/100))+5.0))))*100))/100))*0.96)),(((((MIN((G$9),99))/100))+5.0)/(1-(((MIN((G$9),99))/100))+5.0))))*100))/100))*0.96)),(((((MIN(($O8),99))/100))+5.0)/(1-(((MIN(($O8),99))/100))+5.0))))*100))/100))*0.96)),(((((MIN(($O7),99))/100))+5.0)/(1-(((MIN(($O7),99))/100))+5.0))))*100))/100))*0.96)),(((((MIN(($O$6),99))/100))+5.0)/(1-(((MIN(($O$6),99))/100))+5.0))))*100))/100))*0.96)),(((((MIN((O$5),99))/100))+5.0)/(1-(((MIN((O$5),99))/100))+5.0))))*100))/100))*0.96)),(((((MIN((O$4),99))/100))+5.0)/(1-(((MIN((O$4),99))/100))+5.0))))*100))/100))*0.96)),(((((MIN((O$3),99))/100))+5.0)/(1-(((MIN((O$3),99))/100))+5.0))))*100))/100))*0.96)),(((((MIN(($O2),99))/100))+5.0)/(1-(((MIN(($O2),99))/100))+5.0))))*100))/100))*0.96)),(((((MIN((O1),99))/100))+5.0)/(1-(((MIN((O1),99))/100))+5.0))))*100),0)</f>
        <v/>
      </c>
      <c r="P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(29)/100))*0.96)),(((((MIN(($O9),99))/100))+5.0)/(1-(((MIN(($O9),99))/100))+5.0))))*100))/100))*0.96)),(((((MIN((N$9),99))/100))+5.0)/(1-(((MIN((N$9),99))/100))+5.0))))*100))/100))*0.96)),(((((MIN(($M9),99))/100))+5.0)/(1-(((MIN(($M9),99))/100))+5.0))))*100))/100))*0.96)),(((((MIN(($L$9),99))/100))+5.0)/(1-(((MIN(($L$9),99))/100))+5.0))))*100))/100))*0.96)),(((((MIN(($K9),99))/100))+5.0)/(1-(((MIN(($K9),99))/100))+5.0))))*100))/100))*0.96)),(((((MIN(($J$9),99))/100))+5.0)/(1-(((MIN(($J$9),99))/100))+5.0))))*100))/100))*0.96)),(((((MIN(($I$9),99))/100))+5.0)/(1-(((MIN(($I$9),99))/100))+5.0))))*100))/100))*0.96)),(((((MIN((H9),99))/100))+5.0)/(1-(((MIN((H9),99))/100))+5.0))))*100))/100))*0.96)),(((((MIN(($P$8),99))/100))+5.0)/(1-(((MIN(($P$8),99))/100))+5.0))))*100))/100))*0.96)),(((((MIN((P$7),99))/100))+5.0)/(1-(((MIN((P$7),99))/100))+5.0))))*100))/100))*0.96)),(((((MIN(($P6),99))/100))+5.0)/(1-(((MIN(($P6),99))/100))+5.0))))*100))/100))*0.96)),(((((MIN(($P$5),99))/100))+5.0)/(1-(((MIN(($P$5),99))/100))+5.0))))*100))/100))*0.96)),(((((MIN(($P$4),99))/100))+5.0)/(1-(((MIN(($P$4),99))/100))+5.0))))*100))/100))*0.96)),(((((MIN((P$3),99))/100))+5.0)/(1-(((MIN((P$3),99))/100))+5.0))))*100))/100))*0.96)),(((((MIN((P$2),99))/100))+5.0)/(1-(((MIN((P$2),99))/100))+5.0))))*100))/100))*0.96)),(((((MIN((P1),99))/100))+5.0)/(1-(((MIN((P1),99))/100))+5.0))))*100),0)</f>
        <v/>
      </c>
      <c r="Q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(30)/100))*0.96)),(((((MIN(($P$9),99))/100))+5.0)/(1-(((MIN(($P$9),99))/100))+5.0))))*100))/100))*0.96)),(((((MIN(($O9),99))/100))+5.0)/(1-(((MIN(($O9),99))/100))+5.0))))*100))/100))*0.96)),(((((MIN(($N9),99))/100))+5.0)/(1-(((MIN(($N9),99))/100))+5.0))))*100))/100))*0.96)),(((((MIN(($M9),99))/100))+5.0)/(1-(((MIN(($M9),99))/100))+5.0))))*100))/100))*0.96)),(((((MIN(($L9),99))/100))+5.0)/(1-(((MIN(($L9),99))/100))+5.0))))*100))/100))*0.96)),(((((MIN(($K$9),99))/100))+5.0)/(1-(((MIN(($K$9),99))/100))+5.0))))*100))/100))*0.96)),(((((MIN((J9),99))/100))+5.0)/(1-(((MIN((J9),99))/100))+5.0))))*100))/100))*0.96)),(((((MIN(($I9),99))/100))+5.0)/(1-(((MIN(($I9),99))/100))+5.0))))*100))/100))*0.96)),(((((MIN((Q$8),99))/100))+5.0)/(1-(((MIN((Q$8),99))/100))+5.0))))*100))/100))*0.96)),(((((MIN(($Q7),99))/100))+5.0)/(1-(((MIN(($Q7),99))/100))+5.0))))*100))/100))*0.96)),(((((MIN(($Q$6),99))/100))+5.0)/(1-(((MIN(($Q$6),99))/100))+5.0))))*100))/100))*0.96)),(((((MIN(($Q5),99))/100))+5.0)/(1-(((MIN(($Q5),99))/100))+5.0))))*100))/100))*0.96)),(((((MIN(($Q4),99))/100))+5.0)/(1-(((MIN(($Q4),99))/100))+5.0))))*100))/100))*0.96)),(((((MIN((Q$3),99))/100))+5.0)/(1-(((MIN((Q$3),99))/100))+5.0))))*100))/100))*0.96)),(((((MIN((Q2),99))/100))+5.0)/(1-(((MIN((Q2),99))/100))+5.0))))*100))/100))*0.96)),(((((MIN((Q$1),99))/100))+5.0)/(1-(((MIN((Q$1),99))/100))+5.0))))*100))/100))*0.96)),(((((MIN(($R9),99))/100))+5.0)/(1-(((MIN(($R9),99))/100))+5.0))))*100),0)</f>
        <v/>
      </c>
      <c r="R9" t="n">
        <v>31</v>
      </c>
      <c r="S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(87)/100))*0.96)),(((((MIN(($R$9),99))/100))+5.0)/(1-(((MIN(($R$9),99))/100))+5.0))))*100))/100))*0.96)),(((((MIN((Q$9),99))/100))+5.0)/(1-(((MIN((Q$9),99))/100))+5.0))))*100))/100))*0.96)),(((((MIN((P$9),99))/100))+5.0)/(1-(((MIN((P$9),99))/100))+5.0))))*100))/100))*0.96)),(((((MIN((O9),99))/100))+5.0)/(1-(((MIN((O9),99))/100))+5.0))))*100))/100))*0.96)),(((((MIN((N9),99))/100))+5.0)/(1-(((MIN((N9),99))/100))+5.0))))*100))/100))*0.96)),(((((MIN((M$9),99))/100))+5.0)/(1-(((MIN((M$9),99))/100))+5.0))))*100))/100))*0.96)),(((((MIN(($L9),99))/100))+5.0)/(1-(((MIN(($L9),99))/100))+5.0))))*100))/100))*0.96)),(((((MIN((K$9),99))/100))+5.0)/(1-(((MIN((K$9),99))/100))+5.0))))*100))/100))*0.96)),(((((MIN((S$8),99))/100))+5.0)/(1-(((MIN((S$8),99))/100))+5.0))))*100))/100))*0.96)),(((((MIN(($S$7),99))/100))+5.0)/(1-(((MIN(($S$7),99))/100))+5.0))))*100))/100))*0.96)),(((((MIN((S6),99))/100))+5.0)/(1-(((MIN((S6),99))/100))+5.0))))*100))/100))*0.96)),(((((MIN((S$5),99))/100))+5.0)/(1-(((MIN((S$5),99))/100))+5.0))))*100))/100))*0.96)),(((((MIN((S$4),99))/100))+5.0)/(1-(((MIN((S$4),99))/100))+5.0))))*100))/100))*0.96)),(((((MIN(($S$3),99))/100))+5.0)/(1-(((MIN(($S$3),99))/100))+5.0))))*100))/100))*0.96)),(((((MIN(($S$2),99))/100))+5.0)/(1-(((MIN(($S$2),99))/100))+5.0))))*100))/100))*0.96)),(((((MIN((S$1),99))/100))+5.0)/(1-(((MIN((S$1),99))/100))+5.0))))*100))/100))*0.96)),(((((MIN(($T$10),99))/100))+5.0)/(1-(((MIN(($T$10),99))/100))+5.0))))*100),0)</f>
        <v/>
      </c>
      <c r="T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(88)/100))*0.96)),(((((MIN(($S$9),99))/100))+5.0)/(1-(((MIN(($S$9),99))/100))+5.0))))*100))/100))*0.96)),(((((MIN((R$9),99))/100))+5.0)/(1-(((MIN((R$9),99))/100))+5.0))))*100))/100))*0.96)),(((((MIN((Q$9),99))/100))+5.0)/(1-(((MIN((Q$9),99))/100))+5.0))))*100))/100))*0.96)),(((((MIN((P$9),99))/100))+5.0)/(1-(((MIN((P$9),99))/100))+5.0))))*100))/100))*0.96)),(((((MIN((O9),99))/100))+5.0)/(1-(((MIN((O9),99))/100))+5.0))))*100))/100))*0.96)),(((((MIN(($N9),99))/100))+5.0)/(1-(((MIN(($N9),99))/100))+5.0))))*100))/100))*0.96)),(((((MIN((M$9),99))/100))+5.0)/(1-(((MIN((M$9),99))/100))+5.0))))*100))/100))*0.96)),(((((MIN(($L9),99))/100))+5.0)/(1-(((MIN(($L9),99))/100))+5.0))))*100))/100))*0.96)),(((((MIN(($T$8),99))/100))+5.0)/(1-(((MIN(($T$8),99))/100))+5.0))))*100))/100))*0.96)),(((((MIN((T$7),99))/100))+5.0)/(1-(((MIN((T$7),99))/100))+5.0))))*100))/100))*0.96)),(((((MIN((T6),99))/100))+5.0)/(1-(((MIN((T6),99))/100))+5.0))))*100))/100))*0.96)),(((((MIN(($T$5),99))/100))+5.0)/(1-(((MIN(($T$5),99))/100))+5.0))))*100))/100))*0.96)),(((((MIN(($T4),99))/100))+5.0)/(1-(((MIN(($T4),99))/100))+5.0))))*100))/100))*0.96)),(((((MIN((T$3),99))/100))+5.0)/(1-(((MIN((T$3),99))/100))+5.0))))*100))/100))*0.96)),(((((MIN(($T2),99))/100))+5.0)/(1-(((MIN(($T2),99))/100))+5.0))))*100))/100))*0.96)),(((((MIN((T1),99))/100))+5.0)/(1-(((MIN((T1),99))/100))+5.0))))*100))/100))*0.96)),(((((MIN((T10),99))/100))+5.0)/(1-(((MIN((T10),99))/100))+5.0))))*100),0)</f>
        <v/>
      </c>
    </row>
    <row r="10">
      <c r="A10">
        <f>ROUND(((1-POWER(1-((0.02+(((((1-POWER(1-((0.02+(((((1-POWER(1-((0.02+(((((1-POWER(1-((0.02+(((((1-POWER(1-((0.02+(((((1-POWER(1-((0.02+(((((1-POWER(1-((0.02+(((((1-POWER(1-((0.02+(((((1-POWER(1-((0.02+(((19)/100))*0.96)),(((((MIN(($A9),99))/100))+5.0)/(1-(((MIN(($A9),99))/100))+5.0))))*100))/100))*0.96)),(((((MIN((A8),99))/100))+5.0)/(1-(((MIN((A8),99))/100))+5.0))))*100))/100))*0.96)),(((((MIN(($A$7),99))/100))+5.0)/(1-(((MIN(($A$7),99))/100))+5.0))))*100))/100))*0.96)),(((((MIN(($A6),99))/100))+5.0)/(1-(((MIN(($A6),99))/100))+5.0))))*100))/100))*0.96)),(((((MIN(($A5),99))/100))+5.0)/(1-(((MIN(($A5),99))/100))+5.0))))*100))/100))*0.96)),(((((MIN(($A$4),99))/100))+5.0)/(1-(((MIN(($A$4),99))/100))+5.0))))*100))/100))*0.96)),(((((MIN((A3),99))/100))+5.0)/(1-(((MIN((A3),99))/100))+5.0))))*100))/100))*0.96)),(((((MIN(($A2),99))/100))+5.0)/(1-(((MIN(($A2),99))/100))+5.0))))*100))/100))*0.96)),(((((MIN((A1),99))/100))+5.0)/(1-(((MIN((A1),99))/100))+5.0))))*100),0)</f>
        <v/>
      </c>
      <c r="B10">
        <f>ROUND(((1-POWER(1-((0.02+(((((1-POWER(1-((0.02+(((((1-POWER(1-((0.02+(((((1-POWER(1-((0.02+(((((1-POWER(1-((0.02+(((((1-POWER(1-((0.02+(((((1-POWER(1-((0.02+(((((1-POWER(1-((0.02+(((((1-POWER(1-((0.02+(((((1-POWER(1-((0.02+(((24)/100))*0.96)),(((((MIN(($A$10),99))/100))+5.0)/(1-(((MIN(($A$10),99))/100))+5.0))))*100))/100))*0.96)),(((((MIN((B9),99))/100))+5.0)/(1-(((MIN((B9),99))/100))+5.0))))*100))/100))*0.96)),(((((MIN((B$8),99))/100))+5.0)/(1-(((MIN((B$8),99))/100))+5.0))))*100))/100))*0.96)),(((((MIN((B7),99))/100))+5.0)/(1-(((MIN((B7),99))/100))+5.0))))*100))/100))*0.96)),(((((MIN((B6),99))/100))+5.0)/(1-(((MIN((B6),99))/100))+5.0))))*100))/100))*0.96)),(((((MIN((B5),99))/100))+5.0)/(1-(((MIN((B5),99))/100))+5.0))))*100))/100))*0.96)),(((((MIN(($B4),99))/100))+5.0)/(1-(((MIN(($B4),99))/100))+5.0))))*100))/100))*0.96)),(((((MIN((B3),99))/100))+5.0)/(1-(((MIN((B3),99))/100))+5.0))))*100))/100))*0.96)),(((((MIN((B$2),99))/100))+5.0)/(1-(((MIN((B$2),99))/100))+5.0))))*100))/100))*0.96)),(((((MIN((B$1),99))/100))+5.0)/(1-(((MIN((B$1),99))/100))+5.0))))*100),0)</f>
        <v/>
      </c>
      <c r="C10">
        <f>ROUND(((1-POWER(1-((0.02+(((((1-POWER(1-((0.02+(((((1-POWER(1-((0.02+(((((1-POWER(1-((0.02+(((((1-POWER(1-((0.02+(((((1-POWER(1-((0.02+(((((1-POWER(1-((0.02+(((((1-POWER(1-((0.02+(((((1-POWER(1-((0.02+(((((1-POWER(1-((0.02+(((((1-POWER(1-((0.02+(((20)/100))*0.96)),(((((MIN((B$10),99))/100))+5.0)/(1-(((MIN((B$10),99))/100))+5.0))))*100))/100))*0.96)),(((((MIN(($A$10),99))/100))+5.0)/(1-(((MIN(($A$10),99))/100))+5.0))))*100))/100))*0.96)),(((((MIN(($C9),99))/100))+5.0)/(1-(((MIN(($C9),99))/100))+5.0))))*100))/100))*0.96)),(((((MIN((C$8),99))/100))+5.0)/(1-(((MIN((C$8),99))/100))+5.0))))*100))/100))*0.96)),(((((MIN(($C$7),99))/100))+5.0)/(1-(((MIN(($C$7),99))/100))+5.0))))*100))/100))*0.96)),(((((MIN(($C$6),99))/100))+5.0)/(1-(((MIN(($C$6),99))/100))+5.0))))*100))/100))*0.96)),(((((MIN((C5),99))/100))+5.0)/(1-(((MIN((C5),99))/100))+5.0))))*100))/100))*0.96)),(((((MIN(($C4),99))/100))+5.0)/(1-(((MIN(($C4),99))/100))+5.0))))*100))/100))*0.96)),(((((MIN(($C$3),99))/100))+5.0)/(1-(((MIN(($C$3),99))/100))+5.0))))*100))/100))*0.96)),(((((MIN((C2),99))/100))+5.0)/(1-(((MIN((C2),99))/100))+5.0))))*100))/100))*0.96)),(((((MIN(($C$1),99))/100))+5.0)/(1-(((MIN(($C$1),99))/100))+5.0))))*100),0)</f>
        <v/>
      </c>
      <c r="D1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(49)/100))*0.96)),(((((MIN((C10),99))/100))+5.0)/(1-(((MIN((C10),99))/100))+5.0))))*100))/100))*0.96)),(((((MIN(($B$10),99))/100))+5.0)/(1-(((MIN(($B$10),99))/100))+5.0))))*100))/100))*0.96)),(((((MIN(($A10),99))/100))+5.0)/(1-(((MIN(($A10),99))/100))+5.0))))*100))/100))*0.96)),(((((MIN(($D$9),99))/100))+5.0)/(1-(((MIN(($D$9),99))/100))+5.0))))*100))/100))*0.96)),(((((MIN(($D8),99))/100))+5.0)/(1-(((MIN(($D8),99))/100))+5.0))))*100))/100))*0.96)),(((((MIN(($D7),99))/100))+5.0)/(1-(((MIN(($D7),99))/100))+5.0))))*100))/100))*0.96)),(((((MIN(($D6),99))/100))+5.0)/(1-(((MIN(($D6),99))/100))+5.0))))*100))/100))*0.96)),(((((MIN((D$5),99))/100))+5.0)/(1-(((MIN((D$5),99))/100))+5.0))))*100))/100))*0.96)),(((((MIN((D$4),99))/100))+5.0)/(1-(((MIN((D$4),99))/100))+5.0))))*100))/100))*0.96)),(((((MIN((D3),99))/100))+5.0)/(1-(((MIN((D3),99))/100))+5.0))))*100))/100))*0.96)),(((((MIN((D2),99))/100))+5.0)/(1-(((MIN((D2),99))/100))+5.0))))*100))/100))*0.96)),(((((MIN(($D$1),99))/100))+5.0)/(1-(((MIN(($D$1),99))/100))+5.0))))*100),0)</f>
        <v/>
      </c>
      <c r="E1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(49)/100))*0.96)),(((((MIN(($D$10),99))/100))+5.0)/(1-(((MIN(($D$10),99))/100))+5.0))))*100))/100))*0.96)),(((((MIN((C$10),99))/100))+5.0)/(1-(((MIN((C$10),99))/100))+5.0))))*100))/100))*0.96)),(((((MIN((B10),99))/100))+5.0)/(1-(((MIN((B10),99))/100))+5.0))))*100))/100))*0.96)),(((((MIN((A10),99))/100))+5.0)/(1-(((MIN((A10),99))/100))+5.0))))*100))/100))*0.96)),(((((MIN((E$9),99))/100))+5.0)/(1-(((MIN((E$9),99))/100))+5.0))))*100))/100))*0.96)),(((((MIN(($E$8),99))/100))+5.0)/(1-(((MIN(($E$8),99))/100))+5.0))))*100))/100))*0.96)),(((((MIN((E7),99))/100))+5.0)/(1-(((MIN((E7),99))/100))+5.0))))*100))/100))*0.96)),(((((MIN((E$6),99))/100))+5.0)/(1-(((MIN((E$6),99))/100))+5.0))))*100))/100))*0.96)),(((((MIN(($E$5),99))/100))+5.0)/(1-(((MIN(($E$5),99))/100))+5.0))))*100))/100))*0.96)),(((((MIN(($E$4),99))/100))+5.0)/(1-(((MIN(($E$4),99))/100))+5.0))))*100))/100))*0.96)),(((((MIN((E$3),99))/100))+5.0)/(1-(((MIN((E$3),99))/100))+5.0))))*100))/100))*0.96)),(((((MIN((E2),99))/100))+5.0)/(1-(((MIN((E2),99))/100))+5.0))))*100))/100))*0.96)),(((((MIN(($E$1),99))/100))+5.0)/(1-(((MIN(($E$1),99))/100))+5.0))))*100),0)</f>
        <v/>
      </c>
      <c r="F1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(70)/100))*0.96)),(((((MIN((E$10),99))/100))+5.0)/(1-(((MIN((E$10),99))/100))+5.0))))*100))/100))*0.96)),(((((MIN(($D10),99))/100))+5.0)/(1-(((MIN(($D10),99))/100))+5.0))))*100))/100))*0.96)),(((((MIN(($C10),99))/100))+5.0)/(1-(((MIN(($C10),99))/100))+5.0))))*100))/100))*0.96)),(((((MIN(($B$10),99))/100))+5.0)/(1-(((MIN(($B$10),99))/100))+5.0))))*100))/100))*0.96)),(((((MIN((A10),99))/100))+5.0)/(1-(((MIN((A10),99))/100))+5.0))))*100))/100))*0.96)),(((((MIN((F$9),99))/100))+5.0)/(1-(((MIN((F$9),99))/100))+5.0))))*100))/100))*0.96)),(((((MIN((F8),99))/100))+5.0)/(1-(((MIN((F8),99))/100))+5.0))))*100))/100))*0.96)),(((((MIN((F$7),99))/100))+5.0)/(1-(((MIN((F$7),99))/100))+5.0))))*100))/100))*0.96)),(((((MIN(($F$6),99))/100))+5.0)/(1-(((MIN(($F$6),99))/100))+5.0))))*100))/100))*0.96)),(((((MIN(($F5),99))/100))+5.0)/(1-(((MIN(($F5),99))/100))+5.0))))*100))/100))*0.96)),(((((MIN(($F4),99))/100))+5.0)/(1-(((MIN(($F4),99))/100))+5.0))))*100))/100))*0.96)),(((((MIN(($F$3),99))/100))+5.0)/(1-(((MIN(($F$3),99))/100))+5.0))))*100))/100))*0.96)),(((((MIN((F2),99))/100))+5.0)/(1-(((MIN((F2),99))/100))+5.0))))*100))/100))*0.96)),(((((MIN(($F1),99))/100))+5.0)/(1-(((MIN(($F1),99))/100))+5.0))))*100),0)</f>
        <v/>
      </c>
      <c r="G1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(74)/100))*0.96)),(((((MIN(($F10),99))/100))+5.0)/(1-(((MIN(($F10),99))/100))+5.0))))*100))/100))*0.96)),(((((MIN((E10),99))/100))+5.0)/(1-(((MIN((E10),99))/100))+5.0))))*100))/100))*0.96)),(((((MIN((D$10),99))/100))+5.0)/(1-(((MIN((D$10),99))/100))+5.0))))*100))/100))*0.96)),(((((MIN((C10),99))/100))+5.0)/(1-(((MIN((C10),99))/100))+5.0))))*100))/100))*0.96)),(((((MIN(($B10),99))/100))+5.0)/(1-(((MIN(($B10),99))/100))+5.0))))*100))/100))*0.96)),(((((MIN(($A10),99))/100))+5.0)/(1-(((MIN(($A10),99))/100))+5.0))))*100))/100))*0.96)),(((((MIN(($G$9),99))/100))+5.0)/(1-(((MIN(($G$9),99))/100))+5.0))))*100))/100))*0.96)),(((((MIN(($G8),99))/100))+5.0)/(1-(((MIN(($G8),99))/100))+5.0))))*100))/100))*0.96)),(((((MIN((G$7),99))/100))+5.0)/(1-(((MIN((G$7),99))/100))+5.0))))*100))/100))*0.96)),(((((MIN(($G6),99))/100))+5.0)/(1-(((MIN(($G6),99))/100))+5.0))))*100))/100))*0.96)),(((((MIN(($G$5),99))/100))+5.0)/(1-(((MIN(($G$5),99))/100))+5.0))))*100))/100))*0.96)),(((((MIN((G$4),99))/100))+5.0)/(1-(((MIN((G$4),99))/100))+5.0))))*100))/100))*0.96)),(((((MIN(($G3),99))/100))+5.0)/(1-(((MIN(($G3),99))/100))+5.0))))*100))/100))*0.96)),(((((MIN(($G$2),99))/100))+5.0)/(1-(((MIN(($G$2),99))/100))+5.0))))*100))/100))*0.96)),(((((MIN((G1),99))/100))+5.0)/(1-(((MIN((G1),99))/100))+5.0))))*100),0)</f>
        <v/>
      </c>
      <c r="H1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(80)/100))*0.96)),(((((MIN((G$10),99))/100))+5.0)/(1-(((MIN((G$10),99))/100))+5.0))))*100))/100))*0.96)),(((((MIN(($F10),99))/100))+5.0)/(1-(((MIN(($F10),99))/100))+5.0))))*100))/100))*0.96)),(((((MIN(($E$10),99))/100))+5.0)/(1-(((MIN(($E$10),99))/100))+5.0))))*100))/100))*0.96)),(((((MIN(($D$10),99))/100))+5.0)/(1-(((MIN(($D$10),99))/100))+5.0))))*100))/100))*0.96)),(((((MIN((C$10),99))/100))+5.0)/(1-(((MIN((C$10),99))/100))+5.0))))*100))/100))*0.96)),(((((MIN((B10),99))/100))+5.0)/(1-(((MIN((B10),99))/100))+5.0))))*100))/100))*0.96)),(((((MIN(($A10),99))/100))+5.0)/(1-(((MIN(($A10),99))/100))+5.0))))*100))/100))*0.96)),(((((MIN((H$9),99))/100))+5.0)/(1-(((MIN((H$9),99))/100))+5.0))))*100))/100))*0.96)),(((((MIN((H$8),99))/100))+5.0)/(1-(((MIN((H$8),99))/100))+5.0))))*100))/100))*0.96)),(((((MIN(($H7),99))/100))+5.0)/(1-(((MIN(($H7),99))/100))+5.0))))*100))/100))*0.96)),(((((MIN(($H6),99))/100))+5.0)/(1-(((MIN(($H6),99))/100))+5.0))))*100))/100))*0.96)),(((((MIN(($H5),99))/100))+5.0)/(1-(((MIN(($H5),99))/100))+5.0))))*100))/100))*0.96)),(((((MIN(($H$4),99))/100))+5.0)/(1-(((MIN(($H$4),99))/100))+5.0))))*100))/100))*0.96)),(((((MIN(($H3),99))/100))+5.0)/(1-(((MIN(($H3),99))/100))+5.0))))*100))/100))*0.96)),(((((MIN((H2),99))/100))+5.0)/(1-(((MIN((H2),99))/100))+5.0))))*100))/100))*0.96)),(((((MIN(($H1),99))/100))+5.0)/(1-(((MIN(($H1),99))/100))+5.0))))*100),0)</f>
        <v/>
      </c>
      <c r="I1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(68)/100))*0.96)),(((((MIN(($H$10),99))/100))+5.0)/(1-(((MIN(($H$10),99))/100))+5.0))))*100))/100))*0.96)),(((((MIN(($G10),99))/100))+5.0)/(1-(((MIN(($G10),99))/100))+5.0))))*100))/100))*0.96)),(((((MIN((F10),99))/100))+5.0)/(1-(((MIN((F10),99))/100))+5.0))))*100))/100))*0.96)),(((((MIN((E$10),99))/100))+5.0)/(1-(((MIN((E$10),99))/100))+5.0))))*100))/100))*0.96)),(((((MIN(($D10),99))/100))+5.0)/(1-(((MIN(($D10),99))/100))+5.0))))*100))/100))*0.96)),(((((MIN(($C10),99))/100))+5.0)/(1-(((MIN(($C10),99))/100))+5.0))))*100))/100))*0.96)),(((((MIN((B$10),99))/100))+5.0)/(1-(((MIN((B$10),99))/100))+5.0))))*100))/100))*0.96)),(((((MIN((A$10),99))/100))+5.0)/(1-(((MIN((A$10),99))/100))+5.0))))*100))/100))*0.96)),(((((MIN(($I$9),99))/100))+5.0)/(1-(((MIN(($I$9),99))/100))+5.0))))*100))/100))*0.96)),(((((MIN(($I$8),99))/100))+5.0)/(1-(((MIN(($I$8),99))/100))+5.0))))*100))/100))*0.96)),(((((MIN(($I$7),99))/100))+5.0)/(1-(((MIN(($I$7),99))/100))+5.0))))*100))/100))*0.96)),(((((MIN((I6),99))/100))+5.0)/(1-(((MIN((I6),99))/100))+5.0))))*100))/100))*0.96)),(((((MIN(($I$5),99))/100))+5.0)/(1-(((MIN(($I$5),99))/100))+5.0))))*100))/100))*0.96)),(((((MIN(($I4),99))/100))+5.0)/(1-(((MIN(($I4),99))/100))+5.0))))*100))/100))*0.96)),(((((MIN((I$3),99))/100))+5.0)/(1-(((MIN((I$3),99))/100))+5.0))))*100))/100))*0.96)),(((((MIN((I$2),99))/100))+5.0)/(1-(((MIN((I$2),99))/100))+5.0))))*100))/100))*0.96)),(((((MIN(($I$1),99))/100))+5.0)/(1-(((MIN(($I$1),99))/100))+5.0))))*100),0)</f>
        <v/>
      </c>
      <c r="J1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(32)/100))*0.96)),(((((MIN(($I10),99))/100))+5.0)/(1-(((MIN(($I10),99))/100))+5.0))))*100))/100))*0.96)),(((((MIN((H10),99))/100))+5.0)/(1-(((MIN((H10),99))/100))+5.0))))*100))/100))*0.96)),(((((MIN((G$10),99))/100))+5.0)/(1-(((MIN((G$10),99))/100))+5.0))))*100))/100))*0.96)),(((((MIN((F$10),99))/100))+5.0)/(1-(((MIN((F$10),99))/100))+5.0))))*100))/100))*0.96)),(((((MIN(($E$10),99))/100))+5.0)/(1-(((MIN(($E$10),99))/100))+5.0))))*100))/100))*0.96)),(((((MIN((D10),99))/100))+5.0)/(1-(((MIN((D10),99))/100))+5.0))))*100))/100))*0.96)),(((((MIN((C$10),99))/100))+5.0)/(1-(((MIN((C$10),99))/100))+5.0))))*100))/100))*0.96)),(((((MIN(($B10),99))/100))+5.0)/(1-(((MIN(($B10),99))/100))+5.0))))*100))/100))*0.96)),(((((MIN((J$9),99))/100))+5.0)/(1-(((MIN((J$9),99))/100))+5.0))))*100))/100))*0.96)),(((((MIN(($J8),99))/100))+5.0)/(1-(((MIN(($J8),99))/100))+5.0))))*100))/100))*0.96)),(((((MIN(($J7),99))/100))+5.0)/(1-(((MIN(($J7),99))/100))+5.0))))*100))/100))*0.96)),(((((MIN(($J$6),99))/100))+5.0)/(1-(((MIN(($J$6),99))/100))+5.0))))*100))/100))*0.96)),(((((MIN(($J$5),99))/100))+5.0)/(1-(((MIN(($J$5),99))/100))+5.0))))*100))/100))*0.96)),(((((MIN(($J$4),99))/100))+5.0)/(1-(((MIN(($J$4),99))/100))+5.0))))*100))/100))*0.96)),(((((MIN(($J3),99))/100))+5.0)/(1-(((MIN(($J3),99))/100))+5.0))))*100))/100))*0.96)),(((((MIN(($J$2),99))/100))+5.0)/(1-(((MIN(($J$2),99))/100))+5.0))))*100))/100))*0.96)),(((((MIN((J1),99))/100))+5.0)/(1-(((MIN((J1),99))/100))+5.0))))*100),0)</f>
        <v/>
      </c>
      <c r="K1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(37)/100))*0.96)),(((((MIN((J$10),99))/100))+5.0)/(1-(((MIN((J$10),99))/100))+5.0))))*100))/100))*0.96)),(((((MIN((I10),99))/100))+5.0)/(1-(((MIN((I10),99))/100))+5.0))))*100))/100))*0.96)),(((((MIN(($H$10),99))/100))+5.0)/(1-(((MIN(($H$10),99))/100))+5.0))))*100))/100))*0.96)),(((((MIN(($G$10),99))/100))+5.0)/(1-(((MIN(($G$10),99))/100))+5.0))))*100))/100))*0.96)),(((((MIN((F$10),99))/100))+5.0)/(1-(((MIN((F$10),99))/100))+5.0))))*100))/100))*0.96)),(((((MIN((E$10),99))/100))+5.0)/(1-(((MIN((E$10),99))/100))+5.0))))*100))/100))*0.96)),(((((MIN(($D$10),99))/100))+5.0)/(1-(((MIN(($D$10),99))/100))+5.0))))*100))/100))*0.96)),(((((MIN(($C10),99))/100))+5.0)/(1-(((MIN(($C10),99))/100))+5.0))))*100))/100))*0.96)),(((((MIN(($K$9),99))/100))+5.0)/(1-(((MIN(($K$9),99))/100))+5.0))))*100))/100))*0.96)),(((((MIN(($K8),99))/100))+5.0)/(1-(((MIN(($K8),99))/100))+5.0))))*100))/100))*0.96)),(((((MIN(($K7),99))/100))+5.0)/(1-(((MIN(($K7),99))/100))+5.0))))*100))/100))*0.96)),(((((MIN(($K6),99))/100))+5.0)/(1-(((MIN(($K6),99))/100))+5.0))))*100))/100))*0.96)),(((((MIN((K5),99))/100))+5.0)/(1-(((MIN((K5),99))/100))+5.0))))*100))/100))*0.96)),(((((MIN((K4),99))/100))+5.0)/(1-(((MIN((K4),99))/100))+5.0))))*100))/100))*0.96)),(((((MIN((K3),99))/100))+5.0)/(1-(((MIN((K3),99))/100))+5.0))))*100))/100))*0.96)),(((((MIN(($K2),99))/100))+5.0)/(1-(((MIN(($K2),99))/100))+5.0))))*100))/100))*0.96)),(((((MIN(($K1),99))/100))+5.0)/(1-(((MIN(($K1),99))/100))+5.0))))*100),0)</f>
        <v/>
      </c>
      <c r="L1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(82)/100))*0.96)),(((((MIN(($K10),99))/100))+5.0)/(1-(((MIN(($K10),99))/100))+5.0))))*100))/100))*0.96)),(((((MIN(($J$10),99))/100))+5.0)/(1-(((MIN(($J$10),99))/100))+5.0))))*100))/100))*0.96)),(((((MIN(($I$10),99))/100))+5.0)/(1-(((MIN(($I$10),99))/100))+5.0))))*100))/100))*0.96)),(((((MIN((H$10),99))/100))+5.0)/(1-(((MIN((H$10),99))/100))+5.0))))*100))/100))*0.96)),(((((MIN((G10),99))/100))+5.0)/(1-(((MIN((G10),99))/100))+5.0))))*100))/100))*0.96)),(((((MIN((F10),99))/100))+5.0)/(1-(((MIN((F10),99))/100))+5.0))))*100))/100))*0.96)),(((((MIN(($E$10),99))/100))+5.0)/(1-(((MIN(($E$10),99))/100))+5.0))))*100))/100))*0.96)),(((((MIN(($D$10),99))/100))+5.0)/(1-(((MIN(($D$10),99))/100))+5.0))))*100))/100))*0.96)),(((((MIN(($L9),99))/100))+5.0)/(1-(((MIN(($L9),99))/100))+5.0))))*100))/100))*0.96)),(((((MIN(($L$8),99))/100))+5.0)/(1-(((MIN(($L$8),99))/100))+5.0))))*100))/100))*0.96)),(((((MIN((L$7),99))/100))+5.0)/(1-(((MIN((L$7),99))/100))+5.0))))*100))/100))*0.96)),(((((MIN((L$6),99))/100))+5.0)/(1-(((MIN((L$6),99))/100))+5.0))))*100))/100))*0.96)),(((((MIN((L5),99))/100))+5.0)/(1-(((MIN((L5),99))/100))+5.0))))*100))/100))*0.96)),(((((MIN((L4),99))/100))+5.0)/(1-(((MIN((L4),99))/100))+5.0))))*100))/100))*0.96)),(((((MIN((L3),99))/100))+5.0)/(1-(((MIN((L3),99))/100))+5.0))))*100))/100))*0.96)),(((((MIN(($L2),99))/100))+5.0)/(1-(((MIN(($L2),99))/100))+5.0))))*100))/100))*0.96)),(((((MIN(($L1),99))/100))+5.0)/(1-(((MIN(($L1),99))/100))+5.0))))*100),0)</f>
        <v/>
      </c>
      <c r="M1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(72)/100))*0.96)),(((((MIN(($L$10),99))/100))+5.0)/(1-(((MIN(($L$10),99))/100))+5.0))))*100))/100))*0.96)),(((((MIN((K10),99))/100))+5.0)/(1-(((MIN((K10),99))/100))+5.0))))*100))/100))*0.96)),(((((MIN(($J$10),99))/100))+5.0)/(1-(((MIN(($J$10),99))/100))+5.0))))*100))/100))*0.96)),(((((MIN(($I$10),99))/100))+5.0)/(1-(((MIN(($I$10),99))/100))+5.0))))*100))/100))*0.96)),(((((MIN(($H$10),99))/100))+5.0)/(1-(((MIN(($H$10),99))/100))+5.0))))*100))/100))*0.96)),(((((MIN(($G$10),99))/100))+5.0)/(1-(((MIN(($G$10),99))/100))+5.0))))*100))/100))*0.96)),(((((MIN(($F$10),99))/100))+5.0)/(1-(((MIN(($F$10),99))/100))+5.0))))*100))/100))*0.96)),(((((MIN(($E$10),99))/100))+5.0)/(1-(((MIN(($E$10),99))/100))+5.0))))*100))/100))*0.96)),(((((MIN((M9),99))/100))+5.0)/(1-(((MIN((M9),99))/100))+5.0))))*100))/100))*0.96)),(((((MIN(($M$8),99))/100))+5.0)/(1-(((MIN(($M$8),99))/100))+5.0))))*100))/100))*0.96)),(((((MIN(($M7),99))/100))+5.0)/(1-(((MIN(($M7),99))/100))+5.0))))*100))/100))*0.96)),(((((MIN(($M$6),99))/100))+5.0)/(1-(((MIN(($M$6),99))/100))+5.0))))*100))/100))*0.96)),(((((MIN((M$5),99))/100))+5.0)/(1-(((MIN((M$5),99))/100))+5.0))))*100))/100))*0.96)),(((((MIN((M4),99))/100))+5.0)/(1-(((MIN((M4),99))/100))+5.0))))*100))/100))*0.96)),(((((MIN(($M$3),99))/100))+5.0)/(1-(((MIN(($M$3),99))/100))+5.0))))*100))/100))*0.96)),(((((MIN((M2),99))/100))+5.0)/(1-(((MIN((M2),99))/100))+5.0))))*100))/100))*0.96)),(((((MIN(($M1),99))/100))+5.0)/(1-(((MIN(($M1),99))/100))+5.0))))*100),0)</f>
        <v/>
      </c>
      <c r="N1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(33)/100))*0.96)),(((((MIN((M10),99))/100))+5.0)/(1-(((MIN((M10),99))/100))+5.0))))*100))/100))*0.96)),(((((MIN((L$10),99))/100))+5.0)/(1-(((MIN((L$10),99))/100))+5.0))))*100))/100))*0.96)),(((((MIN(($K$10),99))/100))+5.0)/(1-(((MIN(($K$10),99))/100))+5.0))))*100))/100))*0.96)),(((((MIN(($J$10),99))/100))+5.0)/(1-(((MIN(($J$10),99))/100))+5.0))))*100))/100))*0.96)),(((((MIN(($I$10),99))/100))+5.0)/(1-(((MIN(($I$10),99))/100))+5.0))))*100))/100))*0.96)),(((((MIN((H$10),99))/100))+5.0)/(1-(((MIN((H$10),99))/100))+5.0))))*100))/100))*0.96)),(((((MIN(($G$10),99))/100))+5.0)/(1-(((MIN(($G$10),99))/100))+5.0))))*100))/100))*0.96)),(((((MIN(($F10),99))/100))+5.0)/(1-(((MIN(($F10),99))/100))+5.0))))*100))/100))*0.96)),(((((MIN((N9),99))/100))+5.0)/(1-(((MIN((N9),99))/100))+5.0))))*100))/100))*0.96)),(((((MIN((N$8),99))/100))+5.0)/(1-(((MIN((N$8),99))/100))+5.0))))*100))/100))*0.96)),(((((MIN((N$7),99))/100))+5.0)/(1-(((MIN((N$7),99))/100))+5.0))))*100))/100))*0.96)),(((((MIN((N6),99))/100))+5.0)/(1-(((MIN((N6),99))/100))+5.0))))*100))/100))*0.96)),(((((MIN(($N5),99))/100))+5.0)/(1-(((MIN(($N5),99))/100))+5.0))))*100))/100))*0.96)),(((((MIN((N$4),99))/100))+5.0)/(1-(((MIN((N$4),99))/100))+5.0))))*100))/100))*0.96)),(((((MIN(($N$3),99))/100))+5.0)/(1-(((MIN(($N$3),99))/100))+5.0))))*100))/100))*0.96)),(((((MIN(($N2),99))/100))+5.0)/(1-(((MIN(($N2),99))/100))+5.0))))*100))/100))*0.96)),(((((MIN(($N1),99))/100))+5.0)/(1-(((MIN(($N1),99))/100))+5.0))))*100),0)</f>
        <v/>
      </c>
      <c r="O1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(37)/100))*0.96)),(((((MIN(($N10),99))/100))+5.0)/(1-(((MIN(($N10),99))/100))+5.0))))*100))/100))*0.96)),(((((MIN((M10),99))/100))+5.0)/(1-(((MIN((M10),99))/100))+5.0))))*100))/100))*0.96)),(((((MIN((L10),99))/100))+5.0)/(1-(((MIN((L10),99))/100))+5.0))))*100))/100))*0.96)),(((((MIN((K$10),99))/100))+5.0)/(1-(((MIN((K$10),99))/100))+5.0))))*100))/100))*0.96)),(((((MIN((J$10),99))/100))+5.0)/(1-(((MIN((J$10),99))/100))+5.0))))*100))/100))*0.96)),(((((MIN(($I10),99))/100))+5.0)/(1-(((MIN(($I10),99))/100))+5.0))))*100))/100))*0.96)),(((((MIN((H10),99))/100))+5.0)/(1-(((MIN((H10),99))/100))+5.0))))*100))/100))*0.96)),(((((MIN(($G10),99))/100))+5.0)/(1-(((MIN(($G10),99))/100))+5.0))))*100))/100))*0.96)),(((((MIN(($O$9),99))/100))+5.0)/(1-(((MIN(($O$9),99))/100))+5.0))))*100))/100))*0.96)),(((((MIN(($O$8),99))/100))+5.0)/(1-(((MIN(($O$8),99))/100))+5.0))))*100))/100))*0.96)),(((((MIN(($O7),99))/100))+5.0)/(1-(((MIN(($O7),99))/100))+5.0))))*100))/100))*0.96)),(((((MIN(($O6),99))/100))+5.0)/(1-(((MIN(($O6),99))/100))+5.0))))*100))/100))*0.96)),(((((MIN(($O$5),99))/100))+5.0)/(1-(((MIN(($O$5),99))/100))+5.0))))*100))/100))*0.96)),(((((MIN((O4),99))/100))+5.0)/(1-(((MIN((O4),99))/100))+5.0))))*100))/100))*0.96)),(((((MIN(($O$3),99))/100))+5.0)/(1-(((MIN(($O$3),99))/100))+5.0))))*100))/100))*0.96)),(((((MIN(($O$2),99))/100))+5.0)/(1-(((MIN(($O$2),99))/100))+5.0))))*100))/100))*0.96)),(((((MIN((O$1),99))/100))+5.0)/(1-(((MIN((O$1),99))/100))+5.0))))*100),0)</f>
        <v/>
      </c>
      <c r="P1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(76)/100))*0.96)),(((((MIN(($O$10),99))/100))+5.0)/(1-(((MIN(($O$10),99))/100))+5.0))))*100))/100))*0.96)),(((((MIN((N10),99))/100))+5.0)/(1-(((MIN((N10),99))/100))+5.0))))*100))/100))*0.96)),(((((MIN(($M10),99))/100))+5.0)/(1-(((MIN(($M10),99))/100))+5.0))))*100))/100))*0.96)),(((((MIN(($L10),99))/100))+5.0)/(1-(((MIN(($L10),99))/100))+5.0))))*100))/100))*0.96)),(((((MIN((K$10),99))/100))+5.0)/(1-(((MIN((K$10),99))/100))+5.0))))*100))/100))*0.96)),(((((MIN(($J$10),99))/100))+5.0)/(1-(((MIN(($J$10),99))/100))+5.0))))*100))/100))*0.96)),(((((MIN(($I10),99))/100))+5.0)/(1-(((MIN(($I10),99))/100))+5.0))))*100))/100))*0.96)),(((((MIN(($H$10),99))/100))+5.0)/(1-(((MIN(($H$10),99))/100))+5.0))))*100))/100))*0.96)),(((((MIN(($P$9),99))/100))+5.0)/(1-(((MIN(($P$9),99))/100))+5.0))))*100))/100))*0.96)),(((((MIN(($P$8),99))/100))+5.0)/(1-(((MIN(($P$8),99))/100))+5.0))))*100))/100))*0.96)),(((((MIN(($P$7),99))/100))+5.0)/(1-(((MIN(($P$7),99))/100))+5.0))))*100))/100))*0.96)),(((((MIN((P6),99))/100))+5.0)/(1-(((MIN((P6),99))/100))+5.0))))*100))/100))*0.96)),(((((MIN(($P$5),99))/100))+5.0)/(1-(((MIN(($P$5),99))/100))+5.0))))*100))/100))*0.96)),(((((MIN(($P$4),99))/100))+5.0)/(1-(((MIN(($P$4),99))/100))+5.0))))*100))/100))*0.96)),(((((MIN((P$3),99))/100))+5.0)/(1-(((MIN((P$3),99))/100))+5.0))))*100))/100))*0.96)),(((((MIN(($P2),99))/100))+5.0)/(1-(((MIN(($P2),99))/100))+5.0))))*100))/100))*0.96)),(((((MIN((P1),99))/100))+5.0)/(1-(((MIN((P1),99))/100))+5.0))))*100),0)</f>
        <v/>
      </c>
      <c r="Q1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(13)/100))*0.96)),(((((MIN((P10),99))/100))+5.0)/(1-(((MIN((P10),99))/100))+5.0))))*100))/100))*0.96)),(((((MIN((O$10),99))/100))+5.0)/(1-(((MIN((O$10),99))/100))+5.0))))*100))/100))*0.96)),(((((MIN(($N10),99))/100))+5.0)/(1-(((MIN(($N10),99))/100))+5.0))))*100))/100))*0.96)),(((((MIN((M$10),99))/100))+5.0)/(1-(((MIN((M$10),99))/100))+5.0))))*100))/100))*0.96)),(((((MIN(($L10),99))/100))+5.0)/(1-(((MIN(($L10),99))/100))+5.0))))*100))/100))*0.96)),(((((MIN((K10),99))/100))+5.0)/(1-(((MIN((K10),99))/100))+5.0))))*100))/100))*0.96)),(((((MIN(($J10),99))/100))+5.0)/(1-(((MIN(($J10),99))/100))+5.0))))*100))/100))*0.96)),(((((MIN((I$10),99))/100))+5.0)/(1-(((MIN((I$10),99))/100))+5.0))))*100))/100))*0.96)),(((((MIN((Q$9),99))/100))+5.0)/(1-(((MIN((Q$9),99))/100))+5.0))))*100))/100))*0.96)),(((((MIN((Q$8),99))/100))+5.0)/(1-(((MIN((Q$8),99))/100))+5.0))))*100))/100))*0.96)),(((((MIN(($Q$7),99))/100))+5.0)/(1-(((MIN(($Q$7),99))/100))+5.0))))*100))/100))*0.96)),(((((MIN((Q$6),99))/100))+5.0)/(1-(((MIN((Q$6),99))/100))+5.0))))*100))/100))*0.96)),(((((MIN(($Q5),99))/100))+5.0)/(1-(((MIN(($Q5),99))/100))+5.0))))*100))/100))*0.96)),(((((MIN(($Q4),99))/100))+5.0)/(1-(((MIN(($Q4),99))/100))+5.0))))*100))/100))*0.96)),(((((MIN(($Q$3),99))/100))+5.0)/(1-(((MIN(($Q$3),99))/100))+5.0))))*100))/100))*0.96)),(((((MIN(($Q$2),99))/100))+5.0)/(1-(((MIN(($Q$2),99))/100))+5.0))))*100))/100))*0.96)),(((((MIN((Q$1),99))/100))+5.0)/(1-(((MIN((Q$1),99))/100))+5.0))))*100),0)</f>
        <v/>
      </c>
      <c r="R1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(93)/100))*0.96)),(((((MIN(($Q$10),99))/100))+5.0)/(1-(((MIN(($Q$10),99))/100))+5.0))))*100))/100))*0.96)),(((((MIN((P10),99))/100))+5.0)/(1-(((MIN((P10),99))/100))+5.0))))*100))/100))*0.96)),(((((MIN(($O$10),99))/100))+5.0)/(1-(((MIN(($O$10),99))/100))+5.0))))*100))/100))*0.96)),(((((MIN(($N10),99))/100))+5.0)/(1-(((MIN(($N10),99))/100))+5.0))))*100))/100))*0.96)),(((((MIN((M$10),99))/100))+5.0)/(1-(((MIN((M$10),99))/100))+5.0))))*100))/100))*0.96)),(((((MIN((L$10),99))/100))+5.0)/(1-(((MIN((L$10),99))/100))+5.0))))*100))/100))*0.96)),(((((MIN(($K$10),99))/100))+5.0)/(1-(((MIN(($K$10),99))/100))+5.0))))*100))/100))*0.96)),(((((MIN((J$10),99))/100))+5.0)/(1-(((MIN((J$10),99))/100))+5.0))))*100))/100))*0.96)),(((((MIN(($R$9),99))/100))+5.0)/(1-(((MIN(($R$9),99))/100))+5.0))))*100))/100))*0.96)),(((((MIN(($R$8),99))/100))+5.0)/(1-(((MIN(($R$8),99))/100))+5.0))))*100))/100))*0.96)),(((((MIN((R7),99))/100))+5.0)/(1-(((MIN((R7),99))/100))+5.0))))*100))/100))*0.96)),(((((MIN(($R6),99))/100))+5.0)/(1-(((MIN(($R6),99))/100))+5.0))))*100))/100))*0.96)),(((((MIN(($R5),99))/100))+5.0)/(1-(((MIN(($R5),99))/100))+5.0))))*100))/100))*0.96)),(((((MIN((R4),99))/100))+5.0)/(1-(((MIN((R4),99))/100))+5.0))))*100))/100))*0.96)),(((((MIN(($R3),99))/100))+5.0)/(1-(((MIN(($R3),99))/100))+5.0))))*100))/100))*0.96)),(((((MIN((R2),99))/100))+5.0)/(1-(((MIN((R2),99))/100))+5.0))))*100))/100))*0.96)),(((((MIN((R1),99))/100))+5.0)/(1-(((MIN((R1),99))/100))+5.0))))*100),0)</f>
        <v/>
      </c>
      <c r="S1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(22)/100))*0.96)),(((((MIN((R$10),99))/100))+5.0)/(1-(((MIN((R$10),99))/100))+5.0))))*100))/100))*0.96)),(((((MIN((Q$10),99))/100))+5.0)/(1-(((MIN((Q$10),99))/100))+5.0))))*100))/100))*0.96)),(((((MIN(($P10),99))/100))+5.0)/(1-(((MIN(($P10),99))/100))+5.0))))*100))/100))*0.96)),(((((MIN(($O$10),99))/100))+5.0)/(1-(((MIN(($O$10),99))/100))+5.0))))*100))/100))*0.96)),(((((MIN(($N10),99))/100))+5.0)/(1-(((MIN(($N10),99))/100))+5.0))))*100))/100))*0.96)),(((((MIN((M10),99))/100))+5.0)/(1-(((MIN((M10),99))/100))+5.0))))*100))/100))*0.96)),(((((MIN((L$10),99))/100))+5.0)/(1-(((MIN((L$10),99))/100))+5.0))))*100))/100))*0.96)),(((((MIN((K$10),99))/100))+5.0)/(1-(((MIN((K$10),99))/100))+5.0))))*100))/100))*0.96)),(((((MIN(($S$9),99))/100))+5.0)/(1-(((MIN(($S$9),99))/100))+5.0))))*100))/100))*0.96)),(((((MIN((S$8),99))/100))+5.0)/(1-(((MIN((S$8),99))/100))+5.0))))*100))/100))*0.96)),(((((MIN((S$7),99))/100))+5.0)/(1-(((MIN((S$7),99))/100))+5.0))))*100))/100))*0.96)),(((((MIN(($S$6),99))/100))+5.0)/(1-(((MIN(($S$6),99))/100))+5.0))))*100))/100))*0.96)),(((((MIN(($S5),99))/100))+5.0)/(1-(((MIN(($S5),99))/100))+5.0))))*100))/100))*0.96)),(((((MIN(($S$4),99))/100))+5.0)/(1-(((MIN(($S$4),99))/100))+5.0))))*100))/100))*0.96)),(((((MIN((S$3),99))/100))+5.0)/(1-(((MIN((S$3),99))/100))+5.0))))*100))/100))*0.96)),(((((MIN(($S$2),99))/100))+5.0)/(1-(((MIN(($S$2),99))/100))+5.0))))*100))/100))*0.96)),(((((MIN((S$1),99))/100))+5.0)/(1-(((MIN((S$1),99))/100))+5.0))))*100))/100))*0.96)),(((((MIN((T10),99))/100))+5.0)/(1-(((MIN((T10),99))/100))+5.0))))*100),0)</f>
        <v/>
      </c>
      <c r="T10" t="n">
        <v>81</v>
      </c>
    </row>
    <row r="11">
      <c r="A11">
        <f>ROUND(((1-POWER(1-((0.02+(((((1-POWER(1-((0.02+(((((1-POWER(1-((0.02+(((((1-POWER(1-((0.02+(((((1-POWER(1-((0.02+(((((1-POWER(1-((0.02+(((((1-POWER(1-((0.02+(((((1-POWER(1-((0.02+(((((1-POWER(1-((0.02+(((((1-POWER(1-((0.02+(((89)/100))*0.96)),(((((MIN((A$10),99))/100))+5.0)/(1-(((MIN((A$10),99))/100))+5.0))))*100))/100))*0.96)),(((((MIN((A9),99))/100))+5.0)/(1-(((MIN((A9),99))/100))+5.0))))*100))/100))*0.96)),(((((MIN((A8),99))/100))+5.0)/(1-(((MIN((A8),99))/100))+5.0))))*100))/100))*0.96)),(((((MIN((A$7),99))/100))+5.0)/(1-(((MIN((A$7),99))/100))+5.0))))*100))/100))*0.96)),(((((MIN(($A6),99))/100))+5.0)/(1-(((MIN(($A6),99))/100))+5.0))))*100))/100))*0.96)),(((((MIN((A$5),99))/100))+5.0)/(1-(((MIN((A$5),99))/100))+5.0))))*100))/100))*0.96)),(((((MIN((A$4),99))/100))+5.0)/(1-(((MIN((A$4),99))/100))+5.0))))*100))/100))*0.96)),(((((MIN((A$3),99))/100))+5.0)/(1-(((MIN((A$3),99))/100))+5.0))))*100))/100))*0.96)),(((((MIN(($A2),99))/100))+5.0)/(1-(((MIN(($A2),99))/100))+5.0))))*100))/100))*0.96)),(((((MIN((A$1),99))/100))+5.0)/(1-(((MIN((A$1),99))/100))+5.0))))*100),0)</f>
        <v/>
      </c>
      <c r="B11">
        <f>ROUND(((1-POWER(1-((0.02+(((((1-POWER(1-((0.02+(((((1-POWER(1-((0.02+(((((1-POWER(1-((0.02+(((((1-POWER(1-((0.02+(((((1-POWER(1-((0.02+(((((1-POWER(1-((0.02+(((((1-POWER(1-((0.02+(((((1-POWER(1-((0.02+(((((1-POWER(1-((0.02+(((((1-POWER(1-((0.02+(((56)/100))*0.96)),(((((MIN((A$11),99))/100))+5.0)/(1-(((MIN((A$11),99))/100))+5.0))))*100))/100))*0.96)),(((((MIN(($B10),99))/100))+5.0)/(1-(((MIN(($B10),99))/100))+5.0))))*100))/100))*0.96)),(((((MIN(($B$9),99))/100))+5.0)/(1-(((MIN(($B$9),99))/100))+5.0))))*100))/100))*0.96)),(((((MIN(($B$8),99))/100))+5.0)/(1-(((MIN(($B$8),99))/100))+5.0))))*100))/100))*0.96)),(((((MIN((B7),99))/100))+5.0)/(1-(((MIN((B7),99))/100))+5.0))))*100))/100))*0.96)),(((((MIN((B$6),99))/100))+5.0)/(1-(((MIN((B$6),99))/100))+5.0))))*100))/100))*0.96)),(((((MIN(($B5),99))/100))+5.0)/(1-(((MIN(($B5),99))/100))+5.0))))*100))/100))*0.96)),(((((MIN((B$4),99))/100))+5.0)/(1-(((MIN((B$4),99))/100))+5.0))))*100))/100))*0.96)),(((((MIN(($B3),99))/100))+5.0)/(1-(((MIN(($B3),99))/100))+5.0))))*100))/100))*0.96)),(((((MIN((B$2),99))/100))+5.0)/(1-(((MIN((B$2),99))/100))+5.0))))*100))/100))*0.96)),(((((MIN(($B1),99))/100))+5.0)/(1-(((MIN(($B1),99))/100))+5.0))))*100),0)</f>
        <v/>
      </c>
      <c r="C11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(86)/100))*0.96)),(((((MIN(($B11),99))/100))+5.0)/(1-(((MIN(($B11),99))/100))+5.0))))*100))/100))*0.96)),(((((MIN(($A11),99))/100))+5.0)/(1-(((MIN(($A11),99))/100))+5.0))))*100))/100))*0.96)),(((((MIN(($C$10),99))/100))+5.0)/(1-(((MIN(($C$10),99))/100))+5.0))))*100))/100))*0.96)),(((((MIN(($C$9),99))/100))+5.0)/(1-(((MIN(($C$9),99))/100))+5.0))))*100))/100))*0.96)),(((((MIN(($C$8),99))/100))+5.0)/(1-(((MIN(($C$8),99))/100))+5.0))))*100))/100))*0.96)),(((((MIN((C$7),99))/100))+5.0)/(1-(((MIN((C$7),99))/100))+5.0))))*100))/100))*0.96)),(((((MIN(($C6),99))/100))+5.0)/(1-(((MIN(($C6),99))/100))+5.0))))*100))/100))*0.96)),(((((MIN(($C5),99))/100))+5.0)/(1-(((MIN(($C5),99))/100))+5.0))))*100))/100))*0.96)),(((((MIN(($C$4),99))/100))+5.0)/(1-(((MIN(($C$4),99))/100))+5.0))))*100))/100))*0.96)),(((((MIN((C3),99))/100))+5.0)/(1-(((MIN((C3),99))/100))+5.0))))*100))/100))*0.96)),(((((MIN(($C$2),99))/100))+5.0)/(1-(((MIN(($C$2),99))/100))+5.0))))*100))/100))*0.96)),(((((MIN(($C1),99))/100))+5.0)/(1-(((MIN(($C1),99))/100))+5.0))))*100),0)</f>
        <v/>
      </c>
      <c r="D11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(31)/100))*0.96)),(((((MIN((C11),99))/100))+5.0)/(1-(((MIN((C11),99))/100))+5.0))))*100))/100))*0.96)),(((((MIN(($B11),99))/100))+5.0)/(1-(((MIN(($B11),99))/100))+5.0))))*100))/100))*0.96)),(((((MIN((A$11),99))/100))+5.0)/(1-(((MIN((A$11),99))/100))+5.0))))*100))/100))*0.96)),(((((MIN(($D$10),99))/100))+5.0)/(1-(((MIN(($D$10),99))/100))+5.0))))*100))/100))*0.96)),(((((MIN((D$9),99))/100))+5.0)/(1-(((MIN((D$9),99))/100))+5.0))))*100))/100))*0.96)),(((((MIN(($D$8),99))/100))+5.0)/(1-(((MIN(($D$8),99))/100))+5.0))))*100))/100))*0.96)),(((((MIN(($D7),99))/100))+5.0)/(1-(((MIN(($D7),99))/100))+5.0))))*100))/100))*0.96)),(((((MIN(($D6),99))/100))+5.0)/(1-(((MIN(($D6),99))/100))+5.0))))*100))/100))*0.96)),(((((MIN((D$5),99))/100))+5.0)/(1-(((MIN((D$5),99))/100))+5.0))))*100))/100))*0.96)),(((((MIN(($D$4),99))/100))+5.0)/(1-(((MIN(($D$4),99))/100))+5.0))))*100))/100))*0.96)),(((((MIN((D$3),99))/100))+5.0)/(1-(((MIN((D$3),99))/100))+5.0))))*100))/100))*0.96)),(((((MIN(($D$2),99))/100))+5.0)/(1-(((MIN(($D$2),99))/100))+5.0))))*100))/100))*0.96)),(((((MIN((D$1),99))/100))+5.0)/(1-(((MIN((D$1),99))/100))+5.0))))*100),0)</f>
        <v/>
      </c>
      <c r="E11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(31)/100))*0.96)),(((((MIN(($D11),99))/100))+5.0)/(1-(((MIN(($D11),99))/100))+5.0))))*100))/100))*0.96)),(((((MIN((C$11),99))/100))+5.0)/(1-(((MIN((C$11),99))/100))+5.0))))*100))/100))*0.96)),(((((MIN(($B11),99))/100))+5.0)/(1-(((MIN(($B11),99))/100))+5.0))))*100))/100))*0.96)),(((((MIN((A$11),99))/100))+5.0)/(1-(((MIN((A$11),99))/100))+5.0))))*100))/100))*0.96)),(((((MIN(($E10),99))/100))+5.0)/(1-(((MIN(($E10),99))/100))+5.0))))*100))/100))*0.96)),(((((MIN(($E9),99))/100))+5.0)/(1-(((MIN(($E9),99))/100))+5.0))))*100))/100))*0.96)),(((((MIN((E$8),99))/100))+5.0)/(1-(((MIN((E$8),99))/100))+5.0))))*100))/100))*0.96)),(((((MIN((E7),99))/100))+5.0)/(1-(((MIN((E7),99))/100))+5.0))))*100))/100))*0.96)),(((((MIN((E$6),99))/100))+5.0)/(1-(((MIN((E$6),99))/100))+5.0))))*100))/100))*0.96)),(((((MIN(($E5),99))/100))+5.0)/(1-(((MIN(($E5),99))/100))+5.0))))*100))/100))*0.96)),(((((MIN(($E4),99))/100))+5.0)/(1-(((MIN(($E4),99))/100))+5.0))))*100))/100))*0.96)),(((((MIN((E$3),99))/100))+5.0)/(1-(((MIN((E$3),99))/100))+5.0))))*100))/100))*0.96)),(((((MIN((E$2),99))/100))+5.0)/(1-(((MIN((E$2),99))/100))+5.0))))*100))/100))*0.96)),(((((MIN((E1),99))/100))+5.0)/(1-(((MIN((E1),99))/100))+5.0))))*100),0)</f>
        <v/>
      </c>
      <c r="F11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(29)/100))*0.96)),(((((MIN((E$11),99))/100))+5.0)/(1-(((MIN((E$11),99))/100))+5.0))))*100))/100))*0.96)),(((((MIN((D$11),99))/100))+5.0)/(1-(((MIN((D$11),99))/100))+5.0))))*100))/100))*0.96)),(((((MIN(($C11),99))/100))+5.0)/(1-(((MIN(($C11),99))/100))+5.0))))*100))/100))*0.96)),(((((MIN(($B11),99))/100))+5.0)/(1-(((MIN(($B11),99))/100))+5.0))))*100))/100))*0.96)),(((((MIN(($A$11),99))/100))+5.0)/(1-(((MIN(($A$11),99))/100))+5.0))))*100))/100))*0.96)),(((((MIN((F$10),99))/100))+5.0)/(1-(((MIN((F$10),99))/100))+5.0))))*100))/100))*0.96)),(((((MIN((F$9),99))/100))+5.0)/(1-(((MIN((F$9),99))/100))+5.0))))*100))/100))*0.96)),(((((MIN(($F8),99))/100))+5.0)/(1-(((MIN(($F8),99))/100))+5.0))))*100))/100))*0.96)),(((((MIN((F$7),99))/100))+5.0)/(1-(((MIN((F$7),99))/100))+5.0))))*100))/100))*0.96)),(((((MIN((F$6),99))/100))+5.0)/(1-(((MIN((F$6),99))/100))+5.0))))*100))/100))*0.96)),(((((MIN((F$5),99))/100))+5.0)/(1-(((MIN((F$5),99))/100))+5.0))))*100))/100))*0.96)),(((((MIN((F$4),99))/100))+5.0)/(1-(((MIN((F$4),99))/100))+5.0))))*100))/100))*0.96)),(((((MIN(($F$3),99))/100))+5.0)/(1-(((MIN(($F$3),99))/100))+5.0))))*100))/100))*0.96)),(((((MIN(($F$2),99))/100))+5.0)/(1-(((MIN(($F$2),99))/100))+5.0))))*100))/100))*0.96)),(((((MIN((F$1),99))/100))+5.0)/(1-(((MIN((F$1),99))/100))+5.0))))*100),0)</f>
        <v/>
      </c>
      <c r="G11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(74)/100))*0.96)),(((((MIN((F11),99))/100))+5.0)/(1-(((MIN((F11),99))/100))+5.0))))*100))/100))*0.96)),(((((MIN(($E$11),99))/100))+5.0)/(1-(((MIN(($E$11),99))/100))+5.0))))*100))/100))*0.96)),(((((MIN((D$11),99))/100))+5.0)/(1-(((MIN((D$11),99))/100))+5.0))))*100))/100))*0.96)),(((((MIN(($C$11),99))/100))+5.0)/(1-(((MIN(($C$11),99))/100))+5.0))))*100))/100))*0.96)),(((((MIN(($B11),99))/100))+5.0)/(1-(((MIN(($B11),99))/100))+5.0))))*100))/100))*0.96)),(((((MIN(($A$11),99))/100))+5.0)/(1-(((MIN(($A$11),99))/100))+5.0))))*100))/100))*0.96)),(((((MIN(($G$10),99))/100))+5.0)/(1-(((MIN(($G$10),99))/100))+5.0))))*100))/100))*0.96)),(((((MIN((G$9),99))/100))+5.0)/(1-(((MIN((G$9),99))/100))+5.0))))*100))/100))*0.96)),(((((MIN(($G8),99))/100))+5.0)/(1-(((MIN(($G8),99))/100))+5.0))))*100))/100))*0.96)),(((((MIN((G$7),99))/100))+5.0)/(1-(((MIN((G$7),99))/100))+5.0))))*100))/100))*0.96)),(((((MIN(($G6),99))/100))+5.0)/(1-(((MIN(($G6),99))/100))+5.0))))*100))/100))*0.96)),(((((MIN((G5),99))/100))+5.0)/(1-(((MIN((G5),99))/100))+5.0))))*100))/100))*0.96)),(((((MIN(($G4),99))/100))+5.0)/(1-(((MIN(($G4),99))/100))+5.0))))*100))/100))*0.96)),(((((MIN(($G$3),99))/100))+5.0)/(1-(((MIN(($G$3),99))/100))+5.0))))*100))/100))*0.96)),(((((MIN(($G2),99))/100))+5.0)/(1-(((MIN(($G2),99))/100))+5.0))))*100))/100))*0.96)),(((((MIN(($G1),99))/100))+5.0)/(1-(((MIN(($G1),99))/100))+5.0))))*100),0)</f>
        <v/>
      </c>
      <c r="H11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(56)/100))*0.96)),(((((MIN((G$11),99))/100))+5.0)/(1-(((MIN((G$11),99))/100))+5.0))))*100))/100))*0.96)),(((((MIN(($F11),99))/100))+5.0)/(1-(((MIN(($F11),99))/100))+5.0))))*100))/100))*0.96)),(((((MIN((E$11),99))/100))+5.0)/(1-(((MIN((E$11),99))/100))+5.0))))*100))/100))*0.96)),(((((MIN((D$11),99))/100))+5.0)/(1-(((MIN((D$11),99))/100))+5.0))))*100))/100))*0.96)),(((((MIN((C$11),99))/100))+5.0)/(1-(((MIN((C$11),99))/100))+5.0))))*100))/100))*0.96)),(((((MIN((B$11),99))/100))+5.0)/(1-(((MIN((B$11),99))/100))+5.0))))*100))/100))*0.96)),(((((MIN((A$11),99))/100))+5.0)/(1-(((MIN((A$11),99))/100))+5.0))))*100))/100))*0.96)),(((((MIN((H$10),99))/100))+5.0)/(1-(((MIN((H$10),99))/100))+5.0))))*100))/100))*0.96)),(((((MIN((H$9),99))/100))+5.0)/(1-(((MIN((H$9),99))/100))+5.0))))*100))/100))*0.96)),(((((MIN(($H$8),99))/100))+5.0)/(1-(((MIN(($H$8),99))/100))+5.0))))*100))/100))*0.96)),(((((MIN(($H7),99))/100))+5.0)/(1-(((MIN(($H7),99))/100))+5.0))))*100))/100))*0.96)),(((((MIN(($H$6),99))/100))+5.0)/(1-(((MIN(($H$6),99))/100))+5.0))))*100))/100))*0.96)),(((((MIN(($H5),99))/100))+5.0)/(1-(((MIN(($H5),99))/100))+5.0))))*100))/100))*0.96)),(((((MIN((H$4),99))/100))+5.0)/(1-(((MIN((H$4),99))/100))+5.0))))*100))/100))*0.96)),(((((MIN((H$3),99))/100))+5.0)/(1-(((MIN((H$3),99))/100))+5.0))))*100))/100))*0.96)),(((((MIN((H$2),99))/100))+5.0)/(1-(((MIN((H$2),99))/100))+5.0))))*100))/100))*0.96)),(((((MIN(($H1),99))/100))+5.0)/(1-(((MIN(($H1),99))/100))+5.0))))*100),0)</f>
        <v/>
      </c>
      <c r="I11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(43)/100))*0.96)),(((((MIN(($H11),99))/100))+5.0)/(1-(((MIN(($H11),99))/100))+5.0))))*100))/100))*0.96)),(((((MIN((G$11),99))/100))+5.0)/(1-(((MIN((G$11),99))/100))+5.0))))*100))/100))*0.96)),(((((MIN((F$11),99))/100))+5.0)/(1-(((MIN((F$11),99))/100))+5.0))))*100))/100))*0.96)),(((((MIN(($E11),99))/100))+5.0)/(1-(((MIN(($E11),99))/100))+5.0))))*100))/100))*0.96)),(((((MIN((D11),99))/100))+5.0)/(1-(((MIN((D11),99))/100))+5.0))))*100))/100))*0.96)),(((((MIN((C11),99))/100))+5.0)/(1-(((MIN((C11),99))/100))+5.0))))*100))/100))*0.96)),(((((MIN(($B11),99))/100))+5.0)/(1-(((MIN(($B11),99))/100))+5.0))))*100))/100))*0.96)),(((((MIN(($A$11),99))/100))+5.0)/(1-(((MIN(($A$11),99))/100))+5.0))))*100))/100))*0.96)),(((((MIN((I10),99))/100))+5.0)/(1-(((MIN((I10),99))/100))+5.0))))*100))/100))*0.96)),(((((MIN((I$9),99))/100))+5.0)/(1-(((MIN((I$9),99))/100))+5.0))))*100))/100))*0.96)),(((((MIN(($I8),99))/100))+5.0)/(1-(((MIN(($I8),99))/100))+5.0))))*100))/100))*0.96)),(((((MIN(($I7),99))/100))+5.0)/(1-(((MIN(($I7),99))/100))+5.0))))*100))/100))*0.96)),(((((MIN((I$6),99))/100))+5.0)/(1-(((MIN((I$6),99))/100))+5.0))))*100))/100))*0.96)),(((((MIN(($I5),99))/100))+5.0)/(1-(((MIN(($I5),99))/100))+5.0))))*100))/100))*0.96)),(((((MIN((I$4),99))/100))+5.0)/(1-(((MIN((I$4),99))/100))+5.0))))*100))/100))*0.96)),(((((MIN((I$3),99))/100))+5.0)/(1-(((MIN((I$3),99))/100))+5.0))))*100))/100))*0.96)),(((((MIN(($I$2),99))/100))+5.0)/(1-(((MIN(($I$2),99))/100))+5.0))))*100))/100))*0.96)),(((((MIN((I1),99))/100))+5.0)/(1-(((MIN((I1),99))/100))+5.0))))*100),0)</f>
        <v/>
      </c>
      <c r="J11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(33)/100))*0.96)),(((((MIN((I11),99))/100))+5.0)/(1-(((MIN((I11),99))/100))+5.0))))*100))/100))*0.96)),(((((MIN(($H11),99))/100))+5.0)/(1-(((MIN(($H11),99))/100))+5.0))))*100))/100))*0.96)),(((((MIN((G11),99))/100))+5.0)/(1-(((MIN((G11),99))/100))+5.0))))*100))/100))*0.96)),(((((MIN((F$11),99))/100))+5.0)/(1-(((MIN((F$11),99))/100))+5.0))))*100))/100))*0.96)),(((((MIN((E11),99))/100))+5.0)/(1-(((MIN((E11),99))/100))+5.0))))*100))/100))*0.96)),(((((MIN((D11),99))/100))+5.0)/(1-(((MIN((D11),99))/100))+5.0))))*100))/100))*0.96)),(((((MIN(($C11),99))/100))+5.0)/(1-(((MIN(($C11),99))/100))+5.0))))*100))/100))*0.96)),(((((MIN(($B$11),99))/100))+5.0)/(1-(((MIN(($B$11),99))/100))+5.0))))*100))/100))*0.96)),(((((MIN(($J$10),99))/100))+5.0)/(1-(((MIN(($J$10),99))/100))+5.0))))*100))/100))*0.96)),(((((MIN(($J9),99))/100))+5.0)/(1-(((MIN(($J9),99))/100))+5.0))))*100))/100))*0.96)),(((((MIN(($J8),99))/100))+5.0)/(1-(((MIN(($J8),99))/100))+5.0))))*100))/100))*0.96)),(((((MIN((J$7),99))/100))+5.0)/(1-(((MIN((J$7),99))/100))+5.0))))*100))/100))*0.96)),(((((MIN((J6),99))/100))+5.0)/(1-(((MIN((J6),99))/100))+5.0))))*100))/100))*0.96)),(((((MIN(($J$5),99))/100))+5.0)/(1-(((MIN(($J$5),99))/100))+5.0))))*100))/100))*0.96)),(((((MIN(($J4),99))/100))+5.0)/(1-(((MIN(($J4),99))/100))+5.0))))*100))/100))*0.96)),(((((MIN((J3),99))/100))+5.0)/(1-(((MIN((J3),99))/100))+5.0))))*100))/100))*0.96)),(((((MIN((J2),99))/100))+5.0)/(1-(((MIN((J2),99))/100))+5.0))))*100))/100))*0.96)),(((((MIN((J$1),99))/100))+5.0)/(1-(((MIN((J$1),99))/100))+5.0))))*100),0)</f>
        <v/>
      </c>
      <c r="K11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(79)/100))*0.96)),(((((MIN((J11),99))/100))+5.0)/(1-(((MIN((J11),99))/100))+5.0))))*100))/100))*0.96)),(((((MIN(($I$11),99))/100))+5.0)/(1-(((MIN(($I$11),99))/100))+5.0))))*100))/100))*0.96)),(((((MIN((H$11),99))/100))+5.0)/(1-(((MIN((H$11),99))/100))+5.0))))*100))/100))*0.96)),(((((MIN(($G11),99))/100))+5.0)/(1-(((MIN(($G11),99))/100))+5.0))))*100))/100))*0.96)),(((((MIN((F11),99))/100))+5.0)/(1-(((MIN((F11),99))/100))+5.0))))*100))/100))*0.96)),(((((MIN(($E11),99))/100))+5.0)/(1-(((MIN(($E11),99))/100))+5.0))))*100))/100))*0.96)),(((((MIN((D11),99))/100))+5.0)/(1-(((MIN((D11),99))/100))+5.0))))*100))/100))*0.96)),(((((MIN((C11),99))/100))+5.0)/(1-(((MIN((C11),99))/100))+5.0))))*100))/100))*0.96)),(((((MIN(($K$10),99))/100))+5.0)/(1-(((MIN(($K$10),99))/100))+5.0))))*100))/100))*0.96)),(((((MIN(($K9),99))/100))+5.0)/(1-(((MIN(($K9),99))/100))+5.0))))*100))/100))*0.96)),(((((MIN((K$8),99))/100))+5.0)/(1-(((MIN((K$8),99))/100))+5.0))))*100))/100))*0.96)),(((((MIN(($K$7),99))/100))+5.0)/(1-(((MIN(($K$7),99))/100))+5.0))))*100))/100))*0.96)),(((((MIN(($K6),99))/100))+5.0)/(1-(((MIN(($K6),99))/100))+5.0))))*100))/100))*0.96)),(((((MIN(($K$5),99))/100))+5.0)/(1-(((MIN(($K$5),99))/100))+5.0))))*100))/100))*0.96)),(((((MIN(($K4),99))/100))+5.0)/(1-(((MIN(($K4),99))/100))+5.0))))*100))/100))*0.96)),(((((MIN(($K3),99))/100))+5.0)/(1-(((MIN(($K3),99))/100))+5.0))))*100))/100))*0.96)),(((((MIN(($K$2),99))/100))+5.0)/(1-(((MIN(($K$2),99))/100))+5.0))))*100))/100))*0.96)),(((((MIN(($K1),99))/100))+5.0)/(1-(((MIN(($K1),99))/100))+5.0))))*100),0)</f>
        <v/>
      </c>
      <c r="L11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(94)/100))*0.96)),(((((MIN((K$11),99))/100))+5.0)/(1-(((MIN((K$11),99))/100))+5.0))))*100))/100))*0.96)),(((((MIN((J$11),99))/100))+5.0)/(1-(((MIN((J$11),99))/100))+5.0))))*100))/100))*0.96)),(((((MIN((I11),99))/100))+5.0)/(1-(((MIN((I11),99))/100))+5.0))))*100))/100))*0.96)),(((((MIN((H$11),99))/100))+5.0)/(1-(((MIN((H$11),99))/100))+5.0))))*100))/100))*0.96)),(((((MIN(($G11),99))/100))+5.0)/(1-(((MIN(($G11),99))/100))+5.0))))*100))/100))*0.96)),(((((MIN(($F11),99))/100))+5.0)/(1-(((MIN(($F11),99))/100))+5.0))))*100))/100))*0.96)),(((((MIN(($E11),99))/100))+5.0)/(1-(((MIN(($E11),99))/100))+5.0))))*100))/100))*0.96)),(((((MIN(($D11),99))/100))+5.0)/(1-(((MIN(($D11),99))/100))+5.0))))*100))/100))*0.96)),(((((MIN(($L10),99))/100))+5.0)/(1-(((MIN(($L10),99))/100))+5.0))))*100))/100))*0.96)),(((((MIN((L$9),99))/100))+5.0)/(1-(((MIN((L$9),99))/100))+5.0))))*100))/100))*0.96)),(((((MIN((L8),99))/100))+5.0)/(1-(((MIN((L8),99))/100))+5.0))))*100))/100))*0.96)),(((((MIN(($L7),99))/100))+5.0)/(1-(((MIN(($L7),99))/100))+5.0))))*100))/100))*0.96)),(((((MIN(($L$6),99))/100))+5.0)/(1-(((MIN(($L$6),99))/100))+5.0))))*100))/100))*0.96)),(((((MIN(($L$5),99))/100))+5.0)/(1-(((MIN(($L$5),99))/100))+5.0))))*100))/100))*0.96)),(((((MIN((L$4),99))/100))+5.0)/(1-(((MIN((L$4),99))/100))+5.0))))*100))/100))*0.96)),(((((MIN(($L$3),99))/100))+5.0)/(1-(((MIN(($L$3),99))/100))+5.0))))*100))/100))*0.96)),(((((MIN((L$2),99))/100))+5.0)/(1-(((MIN((L$2),99))/100))+5.0))))*100))/100))*0.96)),(((((MIN(($L$1),99))/100))+5.0)/(1-(((MIN(($L$1),99))/100))+5.0))))*100),0)</f>
        <v/>
      </c>
      <c r="M11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(54)/100))*0.96)),(((((MIN(($L11),99))/100))+5.0)/(1-(((MIN(($L11),99))/100))+5.0))))*100))/100))*0.96)),(((((MIN((K11),99))/100))+5.0)/(1-(((MIN((K11),99))/100))+5.0))))*100))/100))*0.96)),(((((MIN(($J11),99))/100))+5.0)/(1-(((MIN(($J11),99))/100))+5.0))))*100))/100))*0.96)),(((((MIN(($I11),99))/100))+5.0)/(1-(((MIN(($I11),99))/100))+5.0))))*100))/100))*0.96)),(((((MIN(($H$11),99))/100))+5.0)/(1-(((MIN(($H$11),99))/100))+5.0))))*100))/100))*0.96)),(((((MIN((G11),99))/100))+5.0)/(1-(((MIN((G11),99))/100))+5.0))))*100))/100))*0.96)),(((((MIN(($F11),99))/100))+5.0)/(1-(((MIN(($F11),99))/100))+5.0))))*100))/100))*0.96)),(((((MIN(($E$11),99))/100))+5.0)/(1-(((MIN(($E$11),99))/100))+5.0))))*100))/100))*0.96)),(((((MIN((M$10),99))/100))+5.0)/(1-(((MIN((M$10),99))/100))+5.0))))*100))/100))*0.96)),(((((MIN((M$9),99))/100))+5.0)/(1-(((MIN((M$9),99))/100))+5.0))))*100))/100))*0.96)),(((((MIN(($M8),99))/100))+5.0)/(1-(((MIN(($M8),99))/100))+5.0))))*100))/100))*0.96)),(((((MIN((M$7),99))/100))+5.0)/(1-(((MIN((M$7),99))/100))+5.0))))*100))/100))*0.96)),(((((MIN(($M6),99))/100))+5.0)/(1-(((MIN(($M6),99))/100))+5.0))))*100))/100))*0.96)),(((((MIN((M$5),99))/100))+5.0)/(1-(((MIN((M$5),99))/100))+5.0))))*100))/100))*0.96)),(((((MIN((M$4),99))/100))+5.0)/(1-(((MIN((M$4),99))/100))+5.0))))*100))/100))*0.96)),(((((MIN((M$3),99))/100))+5.0)/(1-(((MIN((M$3),99))/100))+5.0))))*100))/100))*0.96)),(((((MIN((M$2),99))/100))+5.0)/(1-(((MIN((M$2),99))/100))+5.0))))*100))/100))*0.96)),(((((MIN(($M1),99))/100))+5.0)/(1-(((MIN(($M1),99))/100))+5.0))))*100),0)</f>
        <v/>
      </c>
      <c r="N11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(90)/100))*0.96)),(((((MIN(($M11),99))/100))+5.0)/(1-(((MIN(($M11),99))/100))+5.0))))*100))/100))*0.96)),(((((MIN(($L11),99))/100))+5.0)/(1-(((MIN(($L11),99))/100))+5.0))))*100))/100))*0.96)),(((((MIN((K$11),99))/100))+5.0)/(1-(((MIN((K$11),99))/100))+5.0))))*100))/100))*0.96)),(((((MIN(($J$11),99))/100))+5.0)/(1-(((MIN(($J$11),99))/100))+5.0))))*100))/100))*0.96)),(((((MIN(($I11),99))/100))+5.0)/(1-(((MIN(($I11),99))/100))+5.0))))*100))/100))*0.96)),(((((MIN((H11),99))/100))+5.0)/(1-(((MIN((H11),99))/100))+5.0))))*100))/100))*0.96)),(((((MIN((G$11),99))/100))+5.0)/(1-(((MIN((G$11),99))/100))+5.0))))*100))/100))*0.96)),(((((MIN(($F$11),99))/100))+5.0)/(1-(((MIN(($F$11),99))/100))+5.0))))*100))/100))*0.96)),(((((MIN(($N$10),99))/100))+5.0)/(1-(((MIN(($N$10),99))/100))+5.0))))*100))/100))*0.96)),(((((MIN((N$9),99))/100))+5.0)/(1-(((MIN((N$9),99))/100))+5.0))))*100))/100))*0.96)),(((((MIN(($N8),99))/100))+5.0)/(1-(((MIN(($N8),99))/100))+5.0))))*100))/100))*0.96)),(((((MIN((N7),99))/100))+5.0)/(1-(((MIN((N7),99))/100))+5.0))))*100))/100))*0.96)),(((((MIN((N6),99))/100))+5.0)/(1-(((MIN((N6),99))/100))+5.0))))*100))/100))*0.96)),(((((MIN((N5),99))/100))+5.0)/(1-(((MIN((N5),99))/100))+5.0))))*100))/100))*0.96)),(((((MIN((N$4),99))/100))+5.0)/(1-(((MIN((N$4),99))/100))+5.0))))*100))/100))*0.96)),(((((MIN((N$3),99))/100))+5.0)/(1-(((MIN((N$3),99))/100))+5.0))))*100))/100))*0.96)),(((((MIN(($N$2),99))/100))+5.0)/(1-(((MIN(($N$2),99))/100))+5.0))))*100))/100))*0.96)),(((((MIN((N1),99))/100))+5.0)/(1-(((MIN((N1),99))/100))+5.0))))*100),0)</f>
        <v/>
      </c>
      <c r="O11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(90)/100))*0.96)),(((((MIN((N$11),99))/100))+5.0)/(1-(((MIN((N$11),99))/100))+5.0))))*100))/100))*0.96)),(((((MIN((M11),99))/100))+5.0)/(1-(((MIN((M11),99))/100))+5.0))))*100))/100))*0.96)),(((((MIN(($L$11),99))/100))+5.0)/(1-(((MIN(($L$11),99))/100))+5.0))))*100))/100))*0.96)),(((((MIN(($K11),99))/100))+5.0)/(1-(((MIN(($K11),99))/100))+5.0))))*100))/100))*0.96)),(((((MIN(($J11),99))/100))+5.0)/(1-(((MIN(($J11),99))/100))+5.0))))*100))/100))*0.96)),(((((MIN(($I11),99))/100))+5.0)/(1-(((MIN(($I11),99))/100))+5.0))))*100))/100))*0.96)),(((((MIN(($H$11),99))/100))+5.0)/(1-(((MIN(($H$11),99))/100))+5.0))))*100))/100))*0.96)),(((((MIN(($G11),99))/100))+5.0)/(1-(((MIN(($G11),99))/100))+5.0))))*100))/100))*0.96)),(((((MIN((O10),99))/100))+5.0)/(1-(((MIN((O10),99))/100))+5.0))))*100))/100))*0.96)),(((((MIN(($O9),99))/100))+5.0)/(1-(((MIN(($O9),99))/100))+5.0))))*100))/100))*0.96)),(((((MIN((O8),99))/100))+5.0)/(1-(((MIN((O8),99))/100))+5.0))))*100))/100))*0.96)),(((((MIN(($O7),99))/100))+5.0)/(1-(((MIN(($O7),99))/100))+5.0))))*100))/100))*0.96)),(((((MIN(($O6),99))/100))+5.0)/(1-(((MIN(($O6),99))/100))+5.0))))*100))/100))*0.96)),(((((MIN((O5),99))/100))+5.0)/(1-(((MIN((O5),99))/100))+5.0))))*100))/100))*0.96)),(((((MIN((O$4),99))/100))+5.0)/(1-(((MIN((O$4),99))/100))+5.0))))*100))/100))*0.96)),(((((MIN(($O3),99))/100))+5.0)/(1-(((MIN(($O3),99))/100))+5.0))))*100))/100))*0.96)),(((((MIN((O2),99))/100))+5.0)/(1-(((MIN((O2),99))/100))+5.0))))*100))/100))*0.96)),(((((MIN((O1),99))/100))+5.0)/(1-(((MIN((O1),99))/100))+5.0))))*100),0)</f>
        <v/>
      </c>
      <c r="P11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(88)/100))*0.96)),(((((MIN(($O11),99))/100))+5.0)/(1-(((MIN(($O11),99))/100))+5.0))))*100))/100))*0.96)),(((((MIN(($N11),99))/100))+5.0)/(1-(((MIN(($N11),99))/100))+5.0))))*100))/100))*0.96)),(((((MIN((M$11),99))/100))+5.0)/(1-(((MIN((M$11),99))/100))+5.0))))*100))/100))*0.96)),(((((MIN(($L11),99))/100))+5.0)/(1-(((MIN(($L11),99))/100))+5.0))))*100))/100))*0.96)),(((((MIN(($K$11),99))/100))+5.0)/(1-(((MIN(($K$11),99))/100))+5.0))))*100))/100))*0.96)),(((((MIN(($J11),99))/100))+5.0)/(1-(((MIN(($J11),99))/100))+5.0))))*100))/100))*0.96)),(((((MIN((I11),99))/100))+5.0)/(1-(((MIN((I11),99))/100))+5.0))))*100))/100))*0.96)),(((((MIN((H11),99))/100))+5.0)/(1-(((MIN((H11),99))/100))+5.0))))*100))/100))*0.96)),(((((MIN(($P$10),99))/100))+5.0)/(1-(((MIN(($P$10),99))/100))+5.0))))*100))/100))*0.96)),(((((MIN((P9),99))/100))+5.0)/(1-(((MIN((P9),99))/100))+5.0))))*100))/100))*0.96)),(((((MIN((P$8),99))/100))+5.0)/(1-(((MIN((P$8),99))/100))+5.0))))*100))/100))*0.96)),(((((MIN((P7),99))/100))+5.0)/(1-(((MIN((P7),99))/100))+5.0))))*100))/100))*0.96)),(((((MIN(($P6),99))/100))+5.0)/(1-(((MIN(($P6),99))/100))+5.0))))*100))/100))*0.96)),(((((MIN(($P5),99))/100))+5.0)/(1-(((MIN(($P5),99))/100))+5.0))))*100))/100))*0.96)),(((((MIN((P$4),99))/100))+5.0)/(1-(((MIN((P$4),99))/100))+5.0))))*100))/100))*0.96)),(((((MIN(($P$3),99))/100))+5.0)/(1-(((MIN(($P$3),99))/100))+5.0))))*100))/100))*0.96)),(((((MIN((P$2),99))/100))+5.0)/(1-(((MIN((P$2),99))/100))+5.0))))*100))/100))*0.96)),(((((MIN(($P1),99))/100))+5.0)/(1-(((MIN(($P1),99))/100))+5.0))))*100),0)</f>
        <v/>
      </c>
      <c r="Q11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(86)/100))*0.96)),(((((MIN(($P11),99))/100))+5.0)/(1-(((MIN(($P11),99))/100))+5.0))))*100))/100))*0.96)),(((((MIN(($O11),99))/100))+5.0)/(1-(((MIN(($O11),99))/100))+5.0))))*100))/100))*0.96)),(((((MIN(($N$11),99))/100))+5.0)/(1-(((MIN(($N$11),99))/100))+5.0))))*100))/100))*0.96)),(((((MIN(($M$11),99))/100))+5.0)/(1-(((MIN(($M$11),99))/100))+5.0))))*100))/100))*0.96)),(((((MIN(($L11),99))/100))+5.0)/(1-(((MIN(($L11),99))/100))+5.0))))*100))/100))*0.96)),(((((MIN(($K$11),99))/100))+5.0)/(1-(((MIN(($K$11),99))/100))+5.0))))*100))/100))*0.96)),(((((MIN(($J11),99))/100))+5.0)/(1-(((MIN(($J11),99))/100))+5.0))))*100))/100))*0.96)),(((((MIN((I11),99))/100))+5.0)/(1-(((MIN((I11),99))/100))+5.0))))*100))/100))*0.96)),(((((MIN(($Q$10),99))/100))+5.0)/(1-(((MIN(($Q$10),99))/100))+5.0))))*100))/100))*0.96)),(((((MIN(($Q$9),99))/100))+5.0)/(1-(((MIN(($Q$9),99))/100))+5.0))))*100))/100))*0.96)),(((((MIN(($Q8),99))/100))+5.0)/(1-(((MIN(($Q8),99))/100))+5.0))))*100))/100))*0.96)),(((((MIN((Q7),99))/100))+5.0)/(1-(((MIN((Q7),99))/100))+5.0))))*100))/100))*0.96)),(((((MIN(($Q$6),99))/100))+5.0)/(1-(((MIN(($Q$6),99))/100))+5.0))))*100))/100))*0.96)),(((((MIN((Q5),99))/100))+5.0)/(1-(((MIN((Q5),99))/100))+5.0))))*100))/100))*0.96)),(((((MIN((Q4),99))/100))+5.0)/(1-(((MIN((Q4),99))/100))+5.0))))*100))/100))*0.96)),(((((MIN(($Q$3),99))/100))+5.0)/(1-(((MIN(($Q$3),99))/100))+5.0))))*100))/100))*0.96)),(((((MIN((Q$2),99))/100))+5.0)/(1-(((MIN((Q$2),99))/100))+5.0))))*100))/100))*0.96)),(((((MIN(($Q$1),99))/100))+5.0)/(1-(((MIN(($Q$1),99))/100))+5.0))))*100),0)</f>
        <v/>
      </c>
      <c r="R11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(93)/100))*0.96)),(((((MIN((Q$11),99))/100))+5.0)/(1-(((MIN((Q$11),99))/100))+5.0))))*100))/100))*0.96)),(((((MIN((P11),99))/100))+5.0)/(1-(((MIN((P11),99))/100))+5.0))))*100))/100))*0.96)),(((((MIN((O$11),99))/100))+5.0)/(1-(((MIN((O$11),99))/100))+5.0))))*100))/100))*0.96)),(((((MIN((N11),99))/100))+5.0)/(1-(((MIN((N11),99))/100))+5.0))))*100))/100))*0.96)),(((((MIN(($M$11),99))/100))+5.0)/(1-(((MIN(($M$11),99))/100))+5.0))))*100))/100))*0.96)),(((((MIN((L11),99))/100))+5.0)/(1-(((MIN((L11),99))/100))+5.0))))*100))/100))*0.96)),(((((MIN((K$11),99))/100))+5.0)/(1-(((MIN((K$11),99))/100))+5.0))))*100))/100))*0.96)),(((((MIN((J11),99))/100))+5.0)/(1-(((MIN((J11),99))/100))+5.0))))*100))/100))*0.96)),(((((MIN(($R$10),99))/100))+5.0)/(1-(((MIN(($R$10),99))/100))+5.0))))*100))/100))*0.96)),(((((MIN((R9),99))/100))+5.0)/(1-(((MIN((R9),99))/100))+5.0))))*100))/100))*0.96)),(((((MIN(($R$8),99))/100))+5.0)/(1-(((MIN(($R$8),99))/100))+5.0))))*100))/100))*0.96)),(((((MIN(($R7),99))/100))+5.0)/(1-(((MIN(($R7),99))/100))+5.0))))*100))/100))*0.96)),(((((MIN(($R$6),99))/100))+5.0)/(1-(((MIN(($R$6),99))/100))+5.0))))*100))/100))*0.96)),(((((MIN(($R5),99))/100))+5.0)/(1-(((MIN(($R5),99))/100))+5.0))))*100))/100))*0.96)),(((((MIN(($R$4),99))/100))+5.0)/(1-(((MIN(($R$4),99))/100))+5.0))))*100))/100))*0.96)),(((((MIN(($R$3),99))/100))+5.0)/(1-(((MIN(($R$3),99))/100))+5.0))))*100))/100))*0.96)),(((((MIN((R2),99))/100))+5.0)/(1-(((MIN((R2),99))/100))+5.0))))*100))/100))*0.96)),(((((MIN(($R1),99))/100))+5.0)/(1-(((MIN(($R1),99))/100))+5.0))))*100),0)</f>
        <v/>
      </c>
      <c r="S11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(72)/100))*0.96)),(((((MIN(($R11),99))/100))+5.0)/(1-(((MIN(($R11),99))/100))+5.0))))*100))/100))*0.96)),(((((MIN(($Q11),99))/100))+5.0)/(1-(((MIN(($Q11),99))/100))+5.0))))*100))/100))*0.96)),(((((MIN((P11),99))/100))+5.0)/(1-(((MIN((P11),99))/100))+5.0))))*100))/100))*0.96)),(((((MIN((O$11),99))/100))+5.0)/(1-(((MIN((O$11),99))/100))+5.0))))*100))/100))*0.96)),(((((MIN(($N$11),99))/100))+5.0)/(1-(((MIN(($N$11),99))/100))+5.0))))*100))/100))*0.96)),(((((MIN((M$11),99))/100))+5.0)/(1-(((MIN((M$11),99))/100))+5.0))))*100))/100))*0.96)),(((((MIN((L11),99))/100))+5.0)/(1-(((MIN((L11),99))/100))+5.0))))*100))/100))*0.96)),(((((MIN((K$11),99))/100))+5.0)/(1-(((MIN((K$11),99))/100))+5.0))))*100))/100))*0.96)),(((((MIN((S10),99))/100))+5.0)/(1-(((MIN((S10),99))/100))+5.0))))*100))/100))*0.96)),(((((MIN((S9),99))/100))+5.0)/(1-(((MIN((S9),99))/100))+5.0))))*100))/100))*0.96)),(((((MIN(($S8),99))/100))+5.0)/(1-(((MIN(($S8),99))/100))+5.0))))*100))/100))*0.96)),(((((MIN((S7),99))/100))+5.0)/(1-(((MIN((S7),99))/100))+5.0))))*100))/100))*0.96)),(((((MIN(($S$6),99))/100))+5.0)/(1-(((MIN(($S$6),99))/100))+5.0))))*100))/100))*0.96)),(((((MIN((S5),99))/100))+5.0)/(1-(((MIN((S5),99))/100))+5.0))))*100))/100))*0.96)),(((((MIN(($S$4),99))/100))+5.0)/(1-(((MIN(($S$4),99))/100))+5.0))))*100))/100))*0.96)),(((((MIN(($S$3),99))/100))+5.0)/(1-(((MIN(($S$3),99))/100))+5.0))))*100))/100))*0.96)),(((((MIN(($S$2),99))/100))+5.0)/(1-(((MIN(($S$2),99))/100))+5.0))))*100))/100))*0.96)),(((((MIN(($S$1),99))/100))+5.0)/(1-(((MIN(($S$1),99))/100))+5.0))))*100),0)</f>
        <v/>
      </c>
      <c r="T11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(46)/100))*0.96)),(((((MIN((S11),99))/100))+5.0)/(1-(((MIN((S11),99))/100))+5.0))))*100))/100))*0.96)),(((((MIN(($R11),99))/100))+5.0)/(1-(((MIN(($R11),99))/100))+5.0))))*100))/100))*0.96)),(((((MIN(($Q$11),99))/100))+5.0)/(1-(((MIN(($Q$11),99))/100))+5.0))))*100))/100))*0.96)),(((((MIN((P11),99))/100))+5.0)/(1-(((MIN((P11),99))/100))+5.0))))*100))/100))*0.96)),(((((MIN(($O$11),99))/100))+5.0)/(1-(((MIN(($O$11),99))/100))+5.0))))*100))/100))*0.96)),(((((MIN((N11),99))/100))+5.0)/(1-(((MIN((N11),99))/100))+5.0))))*100))/100))*0.96)),(((((MIN(($M11),99))/100))+5.0)/(1-(((MIN(($M11),99))/100))+5.0))))*100))/100))*0.96)),(((((MIN((L$11),99))/100))+5.0)/(1-(((MIN((L$11),99))/100))+5.0))))*100))/100))*0.96)),(((((MIN(($T$10),99))/100))+5.0)/(1-(((MIN(($T$10),99))/100))+5.0))))*100))/100))*0.96)),(((((MIN((T9),99))/100))+5.0)/(1-(((MIN((T9),99))/100))+5.0))))*100))/100))*0.96)),(((((MIN(($T8),99))/100))+5.0)/(1-(((MIN(($T8),99))/100))+5.0))))*100))/100))*0.96)),(((((MIN(($T7),99))/100))+5.0)/(1-(((MIN(($T7),99))/100))+5.0))))*100))/100))*0.96)),(((((MIN(($T$6),99))/100))+5.0)/(1-(((MIN(($T$6),99))/100))+5.0))))*100))/100))*0.96)),(((((MIN(($T$5),99))/100))+5.0)/(1-(((MIN(($T$5),99))/100))+5.0))))*100))/100))*0.96)),(((((MIN((T4),99))/100))+5.0)/(1-(((MIN((T4),99))/100))+5.0))))*100))/100))*0.96)),(((((MIN(($T3),99))/100))+5.0)/(1-(((MIN(($T3),99))/100))+5.0))))*100))/100))*0.96)),(((((MIN((T$2),99))/100))+5.0)/(1-(((MIN((T$2),99))/100))+5.0))))*100))/100))*0.96)),(((((MIN((T1),99))/100))+5.0)/(1-(((MIN((T1),99))/100))+5.0))))*100),0)</f>
        <v/>
      </c>
    </row>
    <row r="12">
      <c r="A12">
        <f>ROUND(((1-POWER(1-((0.02+(((((1-POWER(1-((0.02+(((((1-POWER(1-((0.02+(((((1-POWER(1-((0.02+(((((1-POWER(1-((0.02+(((((1-POWER(1-((0.02+(((((1-POWER(1-((0.02+(((((1-POWER(1-((0.02+(((((1-POWER(1-((0.02+(((((1-POWER(1-((0.02+(((((1-POWER(1-((0.02+(((81)/100))*0.96)),(((((MIN(($A$11),99))/100))+5.0)/(1-(((MIN(($A$11),99))/100))+5.0))))*100))/100))*0.96)),(((((MIN(($A$10),99))/100))+5.0)/(1-(((MIN(($A$10),99))/100))+5.0))))*100))/100))*0.96)),(((((MIN((A$9),99))/100))+5.0)/(1-(((MIN((A$9),99))/100))+5.0))))*100))/100))*0.96)),(((((MIN((A8),99))/100))+5.0)/(1-(((MIN((A8),99))/100))+5.0))))*100))/100))*0.96)),(((((MIN((A$7),99))/100))+5.0)/(1-(((MIN((A$7),99))/100))+5.0))))*100))/100))*0.96)),(((((MIN(($A$6),99))/100))+5.0)/(1-(((MIN(($A$6),99))/100))+5.0))))*100))/100))*0.96)),(((((MIN((A5),99))/100))+5.0)/(1-(((MIN((A5),99))/100))+5.0))))*100))/100))*0.96)),(((((MIN((A$4),99))/100))+5.0)/(1-(((MIN((A$4),99))/100))+5.0))))*100))/100))*0.96)),(((((MIN(($A3),99))/100))+5.0)/(1-(((MIN(($A3),99))/100))+5.0))))*100))/100))*0.96)),(((((MIN(($A2),99))/100))+5.0)/(1-(((MIN(($A2),99))/100))+5.0))))*100))/100))*0.96)),(((((MIN((A$1),99))/100))+5.0)/(1-(((MIN((A$1),99))/100))+5.0))))*100),0)</f>
        <v/>
      </c>
      <c r="B12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(95)/100))*0.96)),(((((MIN((A$12),99))/100))+5.0)/(1-(((MIN((A$12),99))/100))+5.0))))*100))/100))*0.96)),(((((MIN((B11),99))/100))+5.0)/(1-(((MIN((B11),99))/100))+5.0))))*100))/100))*0.96)),(((((MIN(($B10),99))/100))+5.0)/(1-(((MIN(($B10),99))/100))+5.0))))*100))/100))*0.96)),(((((MIN((B$9),99))/100))+5.0)/(1-(((MIN((B$9),99))/100))+5.0))))*100))/100))*0.96)),(((((MIN((B$8),99))/100))+5.0)/(1-(((MIN((B$8),99))/100))+5.0))))*100))/100))*0.96)),(((((MIN(($B$7),99))/100))+5.0)/(1-(((MIN(($B$7),99))/100))+5.0))))*100))/100))*0.96)),(((((MIN((B6),99))/100))+5.0)/(1-(((MIN((B6),99))/100))+5.0))))*100))/100))*0.96)),(((((MIN(($B$5),99))/100))+5.0)/(1-(((MIN(($B$5),99))/100))+5.0))))*100))/100))*0.96)),(((((MIN(($B$4),99))/100))+5.0)/(1-(((MIN(($B$4),99))/100))+5.0))))*100))/100))*0.96)),(((((MIN((B$3),99))/100))+5.0)/(1-(((MIN((B$3),99))/100))+5.0))))*100))/100))*0.96)),(((((MIN((B$2),99))/100))+5.0)/(1-(((MIN((B$2),99))/100))+5.0))))*100))/100))*0.96)),(((((MIN(($B$1),99))/100))+5.0)/(1-(((MIN(($B$1),99))/100))+5.0))))*100),0)</f>
        <v/>
      </c>
      <c r="C12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(7)/100))*0.96)),(((((MIN(($B12),99))/100))+5.0)/(1-(((MIN(($B12),99))/100))+5.0))))*100))/100))*0.96)),(((((MIN((A12),99))/100))+5.0)/(1-(((MIN((A12),99))/100))+5.0))))*100))/100))*0.96)),(((((MIN((C11),99))/100))+5.0)/(1-(((MIN((C11),99))/100))+5.0))))*100))/100))*0.96)),(((((MIN((C10),99))/100))+5.0)/(1-(((MIN((C10),99))/100))+5.0))))*100))/100))*0.96)),(((((MIN(($C$9),99))/100))+5.0)/(1-(((MIN(($C$9),99))/100))+5.0))))*100))/100))*0.96)),(((((MIN((C$8),99))/100))+5.0)/(1-(((MIN((C$8),99))/100))+5.0))))*100))/100))*0.96)),(((((MIN((C$7),99))/100))+5.0)/(1-(((MIN((C$7),99))/100))+5.0))))*100))/100))*0.96)),(((((MIN(($C6),99))/100))+5.0)/(1-(((MIN(($C6),99))/100))+5.0))))*100))/100))*0.96)),(((((MIN(($C5),99))/100))+5.0)/(1-(((MIN(($C5),99))/100))+5.0))))*100))/100))*0.96)),(((((MIN(($C4),99))/100))+5.0)/(1-(((MIN(($C4),99))/100))+5.0))))*100))/100))*0.96)),(((((MIN((C3),99))/100))+5.0)/(1-(((MIN((C3),99))/100))+5.0))))*100))/100))*0.96)),(((((MIN(($C2),99))/100))+5.0)/(1-(((MIN(($C2),99))/100))+5.0))))*100))/100))*0.96)),(((((MIN(($C1),99))/100))+5.0)/(1-(((MIN(($C1),99))/100))+5.0))))*100),0)</f>
        <v/>
      </c>
      <c r="D12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(25)/100))*0.96)),(((((MIN(($C12),99))/100))+5.0)/(1-(((MIN(($C12),99))/100))+5.0))))*100))/100))*0.96)),(((((MIN((B12),99))/100))+5.0)/(1-(((MIN((B12),99))/100))+5.0))))*100))/100))*0.96)),(((((MIN((A$12),99))/100))+5.0)/(1-(((MIN((A$12),99))/100))+5.0))))*100))/100))*0.96)),(((((MIN((D11),99))/100))+5.0)/(1-(((MIN((D11),99))/100))+5.0))))*100))/100))*0.96)),(((((MIN((D$10),99))/100))+5.0)/(1-(((MIN((D$10),99))/100))+5.0))))*100))/100))*0.96)),(((((MIN((D$9),99))/100))+5.0)/(1-(((MIN((D$9),99))/100))+5.0))))*100))/100))*0.96)),(((((MIN(($D8),99))/100))+5.0)/(1-(((MIN(($D8),99))/100))+5.0))))*100))/100))*0.96)),(((((MIN((D$7),99))/100))+5.0)/(1-(((MIN((D$7),99))/100))+5.0))))*100))/100))*0.96)),(((((MIN((D6),99))/100))+5.0)/(1-(((MIN((D6),99))/100))+5.0))))*100))/100))*0.96)),(((((MIN(($D5),99))/100))+5.0)/(1-(((MIN(($D5),99))/100))+5.0))))*100))/100))*0.96)),(((((MIN((D4),99))/100))+5.0)/(1-(((MIN((D4),99))/100))+5.0))))*100))/100))*0.96)),(((((MIN(($D3),99))/100))+5.0)/(1-(((MIN(($D3),99))/100))+5.0))))*100))/100))*0.96)),(((((MIN(($D$2),99))/100))+5.0)/(1-(((MIN(($D$2),99))/100))+5.0))))*100))/100))*0.96)),(((((MIN(($D$1),99))/100))+5.0)/(1-(((MIN(($D$1),99))/100))+5.0))))*100),0)</f>
        <v/>
      </c>
      <c r="E12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(86)/100))*0.96)),(((((MIN((D$12),99))/100))+5.0)/(1-(((MIN((D$12),99))/100))+5.0))))*100))/100))*0.96)),(((((MIN((C$12),99))/100))+5.0)/(1-(((MIN((C$12),99))/100))+5.0))))*100))/100))*0.96)),(((((MIN((B$12),99))/100))+5.0)/(1-(((MIN((B$12),99))/100))+5.0))))*100))/100))*0.96)),(((((MIN((A12),99))/100))+5.0)/(1-(((MIN((A12),99))/100))+5.0))))*100))/100))*0.96)),(((((MIN((E$11),99))/100))+5.0)/(1-(((MIN((E$11),99))/100))+5.0))))*100))/100))*0.96)),(((((MIN((E10),99))/100))+5.0)/(1-(((MIN((E10),99))/100))+5.0))))*100))/100))*0.96)),(((((MIN((E9),99))/100))+5.0)/(1-(((MIN((E9),99))/100))+5.0))))*100))/100))*0.96)),(((((MIN((E8),99))/100))+5.0)/(1-(((MIN((E8),99))/100))+5.0))))*100))/100))*0.96)),(((((MIN(($E$7),99))/100))+5.0)/(1-(((MIN(($E$7),99))/100))+5.0))))*100))/100))*0.96)),(((((MIN((E$6),99))/100))+5.0)/(1-(((MIN((E$6),99))/100))+5.0))))*100))/100))*0.96)),(((((MIN((E5),99))/100))+5.0)/(1-(((MIN((E5),99))/100))+5.0))))*100))/100))*0.96)),(((((MIN(($E4),99))/100))+5.0)/(1-(((MIN(($E4),99))/100))+5.0))))*100))/100))*0.96)),(((((MIN(($E3),99))/100))+5.0)/(1-(((MIN(($E3),99))/100))+5.0))))*100))/100))*0.96)),(((((MIN((E$2),99))/100))+5.0)/(1-(((MIN((E$2),99))/100))+5.0))))*100))/100))*0.96)),(((((MIN(($E1),99))/100))+5.0)/(1-(((MIN(($E1),99))/100))+5.0))))*100),0)</f>
        <v/>
      </c>
      <c r="F12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(14)/100))*0.96)),(((((MIN((E$12),99))/100))+5.0)/(1-(((MIN((E$12),99))/100))+5.0))))*100))/100))*0.96)),(((((MIN(($D$12),99))/100))+5.0)/(1-(((MIN(($D$12),99))/100))+5.0))))*100))/100))*0.96)),(((((MIN((C12),99))/100))+5.0)/(1-(((MIN((C12),99))/100))+5.0))))*100))/100))*0.96)),(((((MIN((B12),99))/100))+5.0)/(1-(((MIN((B12),99))/100))+5.0))))*100))/100))*0.96)),(((((MIN(($A12),99))/100))+5.0)/(1-(((MIN(($A12),99))/100))+5.0))))*100))/100))*0.96)),(((((MIN(($F$11),99))/100))+5.0)/(1-(((MIN(($F$11),99))/100))+5.0))))*100))/100))*0.96)),(((((MIN((F$10),99))/100))+5.0)/(1-(((MIN((F$10),99))/100))+5.0))))*100))/100))*0.96)),(((((MIN((F9),99))/100))+5.0)/(1-(((MIN((F9),99))/100))+5.0))))*100))/100))*0.96)),(((((MIN((F$8),99))/100))+5.0)/(1-(((MIN((F$8),99))/100))+5.0))))*100))/100))*0.96)),(((((MIN(($F$7),99))/100))+5.0)/(1-(((MIN(($F$7),99))/100))+5.0))))*100))/100))*0.96)),(((((MIN((F6),99))/100))+5.0)/(1-(((MIN((F6),99))/100))+5.0))))*100))/100))*0.96)),(((((MIN((F$5),99))/100))+5.0)/(1-(((MIN((F$5),99))/100))+5.0))))*100))/100))*0.96)),(((((MIN((F$4),99))/100))+5.0)/(1-(((MIN((F$4),99))/100))+5.0))))*100))/100))*0.96)),(((((MIN(($F$3),99))/100))+5.0)/(1-(((MIN(($F$3),99))/100))+5.0))))*100))/100))*0.96)),(((((MIN(($F2),99))/100))+5.0)/(1-(((MIN(($F2),99))/100))+5.0))))*100))/100))*0.96)),(((((MIN(($F$1),99))/100))+5.0)/(1-(((MIN(($F$1),99))/100))+5.0))))*100),0)</f>
        <v/>
      </c>
      <c r="G12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(56)/100))*0.96)),(((((MIN((F12),99))/100))+5.0)/(1-(((MIN((F12),99))/100))+5.0))))*100))/100))*0.96)),(((((MIN((E$12),99))/100))+5.0)/(1-(((MIN((E$12),99))/100))+5.0))))*100))/100))*0.96)),(((((MIN((D$12),99))/100))+5.0)/(1-(((MIN((D$12),99))/100))+5.0))))*100))/100))*0.96)),(((((MIN((C$12),99))/100))+5.0)/(1-(((MIN((C$12),99))/100))+5.0))))*100))/100))*0.96)),(((((MIN(($B$12),99))/100))+5.0)/(1-(((MIN(($B$12),99))/100))+5.0))))*100))/100))*0.96)),(((((MIN(($A$12),99))/100))+5.0)/(1-(((MIN(($A$12),99))/100))+5.0))))*100))/100))*0.96)),(((((MIN((G11),99))/100))+5.0)/(1-(((MIN((G11),99))/100))+5.0))))*100))/100))*0.96)),(((((MIN((G$10),99))/100))+5.0)/(1-(((MIN((G$10),99))/100))+5.0))))*100))/100))*0.96)),(((((MIN((G9),99))/100))+5.0)/(1-(((MIN((G9),99))/100))+5.0))))*100))/100))*0.96)),(((((MIN(($G$8),99))/100))+5.0)/(1-(((MIN(($G$8),99))/100))+5.0))))*100))/100))*0.96)),(((((MIN((G7),99))/100))+5.0)/(1-(((MIN((G7),99))/100))+5.0))))*100))/100))*0.96)),(((((MIN(($G$6),99))/100))+5.0)/(1-(((MIN(($G$6),99))/100))+5.0))))*100))/100))*0.96)),(((((MIN((G$5),99))/100))+5.0)/(1-(((MIN((G$5),99))/100))+5.0))))*100))/100))*0.96)),(((((MIN((G$4),99))/100))+5.0)/(1-(((MIN((G$4),99))/100))+5.0))))*100))/100))*0.96)),(((((MIN((G$3),99))/100))+5.0)/(1-(((MIN((G$3),99))/100))+5.0))))*100))/100))*0.96)),(((((MIN(($G2),99))/100))+5.0)/(1-(((MIN(($G2),99))/100))+5.0))))*100))/100))*0.96)),(((((MIN((G$1),99))/100))+5.0)/(1-(((MIN((G$1),99))/100))+5.0))))*100),0)</f>
        <v/>
      </c>
      <c r="H12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(11)/100))*0.96)),(((((MIN(($G12),99))/100))+5.0)/(1-(((MIN(($G12),99))/100))+5.0))))*100))/100))*0.96)),(((((MIN(($F12),99))/100))+5.0)/(1-(((MIN(($F12),99))/100))+5.0))))*100))/100))*0.96)),(((((MIN(($E12),99))/100))+5.0)/(1-(((MIN(($E12),99))/100))+5.0))))*100))/100))*0.96)),(((((MIN(($D$12),99))/100))+5.0)/(1-(((MIN(($D$12),99))/100))+5.0))))*100))/100))*0.96)),(((((MIN((C12),99))/100))+5.0)/(1-(((MIN((C12),99))/100))+5.0))))*100))/100))*0.96)),(((((MIN(($B$12),99))/100))+5.0)/(1-(((MIN(($B$12),99))/100))+5.0))))*100))/100))*0.96)),(((((MIN(($A$12),99))/100))+5.0)/(1-(((MIN(($A$12),99))/100))+5.0))))*100))/100))*0.96)),(((((MIN(($H$11),99))/100))+5.0)/(1-(((MIN(($H$11),99))/100))+5.0))))*100))/100))*0.96)),(((((MIN((H$10),99))/100))+5.0)/(1-(((MIN((H$10),99))/100))+5.0))))*100))/100))*0.96)),(((((MIN(($H$9),99))/100))+5.0)/(1-(((MIN(($H$9),99))/100))+5.0))))*100))/100))*0.96)),(((((MIN((H$8),99))/100))+5.0)/(1-(((MIN((H$8),99))/100))+5.0))))*100))/100))*0.96)),(((((MIN((H7),99))/100))+5.0)/(1-(((MIN((H7),99))/100))+5.0))))*100))/100))*0.96)),(((((MIN(($H6),99))/100))+5.0)/(1-(((MIN(($H6),99))/100))+5.0))))*100))/100))*0.96)),(((((MIN(($H5),99))/100))+5.0)/(1-(((MIN(($H5),99))/100))+5.0))))*100))/100))*0.96)),(((((MIN((H4),99))/100))+5.0)/(1-(((MIN((H4),99))/100))+5.0))))*100))/100))*0.96)),(((((MIN(($H3),99))/100))+5.0)/(1-(((MIN(($H3),99))/100))+5.0))))*100))/100))*0.96)),(((((MIN((H$2),99))/100))+5.0)/(1-(((MIN((H$2),99))/100))+5.0))))*100))/100))*0.96)),(((((MIN((H$1),99))/100))+5.0)/(1-(((MIN((H$1),99))/100))+5.0))))*100),0)</f>
        <v/>
      </c>
      <c r="I12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(87)/100))*0.96)),(((((MIN(($H$12),99))/100))+5.0)/(1-(((MIN(($H$12),99))/100))+5.0))))*100))/100))*0.96)),(((((MIN(($G$12),99))/100))+5.0)/(1-(((MIN(($G$12),99))/100))+5.0))))*100))/100))*0.96)),(((((MIN(($F12),99))/100))+5.0)/(1-(((MIN(($F12),99))/100))+5.0))))*100))/100))*0.96)),(((((MIN((E12),99))/100))+5.0)/(1-(((MIN((E12),99))/100))+5.0))))*100))/100))*0.96)),(((((MIN((D12),99))/100))+5.0)/(1-(((MIN((D12),99))/100))+5.0))))*100))/100))*0.96)),(((((MIN((C$12),99))/100))+5.0)/(1-(((MIN((C$12),99))/100))+5.0))))*100))/100))*0.96)),(((((MIN((B$12),99))/100))+5.0)/(1-(((MIN((B$12),99))/100))+5.0))))*100))/100))*0.96)),(((((MIN((A$12),99))/100))+5.0)/(1-(((MIN((A$12),99))/100))+5.0))))*100))/100))*0.96)),(((((MIN((I11),99))/100))+5.0)/(1-(((MIN((I11),99))/100))+5.0))))*100))/100))*0.96)),(((((MIN((I$10),99))/100))+5.0)/(1-(((MIN((I$10),99))/100))+5.0))))*100))/100))*0.96)),(((((MIN(($I$9),99))/100))+5.0)/(1-(((MIN(($I$9),99))/100))+5.0))))*100))/100))*0.96)),(((((MIN((I$8),99))/100))+5.0)/(1-(((MIN((I$8),99))/100))+5.0))))*100))/100))*0.96)),(((((MIN((I7),99))/100))+5.0)/(1-(((MIN((I7),99))/100))+5.0))))*100))/100))*0.96)),(((((MIN((I$6),99))/100))+5.0)/(1-(((MIN((I$6),99))/100))+5.0))))*100))/100))*0.96)),(((((MIN(($I$5),99))/100))+5.0)/(1-(((MIN(($I$5),99))/100))+5.0))))*100))/100))*0.96)),(((((MIN(($I4),99))/100))+5.0)/(1-(((MIN(($I4),99))/100))+5.0))))*100))/100))*0.96)),(((((MIN(($I$3),99))/100))+5.0)/(1-(((MIN(($I$3),99))/100))+5.0))))*100))/100))*0.96)),(((((MIN((I$2),99))/100))+5.0)/(1-(((MIN((I$2),99))/100))+5.0))))*100))/100))*0.96)),(((((MIN(($I$1),99))/100))+5.0)/(1-(((MIN(($I$1),99))/100))+5.0))))*100),0)</f>
        <v/>
      </c>
      <c r="J12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(65)/100))*0.96)),(((((MIN((I$12),99))/100))+5.0)/(1-(((MIN((I$12),99))/100))+5.0))))*100))/100))*0.96)),(((((MIN((H12),99))/100))+5.0)/(1-(((MIN((H12),99))/100))+5.0))))*100))/100))*0.96)),(((((MIN(($G$12),99))/100))+5.0)/(1-(((MIN(($G$12),99))/100))+5.0))))*100))/100))*0.96)),(((((MIN(($F12),99))/100))+5.0)/(1-(((MIN(($F12),99))/100))+5.0))))*100))/100))*0.96)),(((((MIN(($E12),99))/100))+5.0)/(1-(((MIN(($E12),99))/100))+5.0))))*100))/100))*0.96)),(((((MIN(($D$12),99))/100))+5.0)/(1-(((MIN(($D$12),99))/100))+5.0))))*100))/100))*0.96)),(((((MIN((C12),99))/100))+5.0)/(1-(((MIN((C12),99))/100))+5.0))))*100))/100))*0.96)),(((((MIN(($B12),99))/100))+5.0)/(1-(((MIN(($B12),99))/100))+5.0))))*100))/100))*0.96)),(((((MIN(($J11),99))/100))+5.0)/(1-(((MIN(($J11),99))/100))+5.0))))*100))/100))*0.96)),(((((MIN(($J10),99))/100))+5.0)/(1-(((MIN(($J10),99))/100))+5.0))))*100))/100))*0.96)),(((((MIN(($J9),99))/100))+5.0)/(1-(((MIN(($J9),99))/100))+5.0))))*100))/100))*0.96)),(((((MIN(($J$8),99))/100))+5.0)/(1-(((MIN(($J$8),99))/100))+5.0))))*100))/100))*0.96)),(((((MIN((J$7),99))/100))+5.0)/(1-(((MIN((J$7),99))/100))+5.0))))*100))/100))*0.96)),(((((MIN((J6),99))/100))+5.0)/(1-(((MIN((J6),99))/100))+5.0))))*100))/100))*0.96)),(((((MIN((J$5),99))/100))+5.0)/(1-(((MIN((J$5),99))/100))+5.0))))*100))/100))*0.96)),(((((MIN((J$4),99))/100))+5.0)/(1-(((MIN((J$4),99))/100))+5.0))))*100))/100))*0.96)),(((((MIN(($J3),99))/100))+5.0)/(1-(((MIN(($J3),99))/100))+5.0))))*100))/100))*0.96)),(((((MIN(($J$2),99))/100))+5.0)/(1-(((MIN(($J$2),99))/100))+5.0))))*100))/100))*0.96)),(((((MIN(($J1),99))/100))+5.0)/(1-(((MIN(($J1),99))/100))+5.0))))*100),0)</f>
        <v/>
      </c>
      <c r="K12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(60)/100))*0.96)),(((((MIN((J$12),99))/100))+5.0)/(1-(((MIN((J$12),99))/100))+5.0))))*100))/100))*0.96)),(((((MIN((I12),99))/100))+5.0)/(1-(((MIN((I12),99))/100))+5.0))))*100))/100))*0.96)),(((((MIN(($H12),99))/100))+5.0)/(1-(((MIN(($H12),99))/100))+5.0))))*100))/100))*0.96)),(((((MIN(($G12),99))/100))+5.0)/(1-(((MIN(($G12),99))/100))+5.0))))*100))/100))*0.96)),(((((MIN(($F12),99))/100))+5.0)/(1-(((MIN(($F12),99))/100))+5.0))))*100))/100))*0.96)),(((((MIN((E$12),99))/100))+5.0)/(1-(((MIN((E$12),99))/100))+5.0))))*100))/100))*0.96)),(((((MIN((D$12),99))/100))+5.0)/(1-(((MIN((D$12),99))/100))+5.0))))*100))/100))*0.96)),(((((MIN(($C12),99))/100))+5.0)/(1-(((MIN(($C12),99))/100))+5.0))))*100))/100))*0.96)),(((((MIN(($K$11),99))/100))+5.0)/(1-(((MIN(($K$11),99))/100))+5.0))))*100))/100))*0.96)),(((((MIN((K10),99))/100))+5.0)/(1-(((MIN((K10),99))/100))+5.0))))*100))/100))*0.96)),(((((MIN((K$9),99))/100))+5.0)/(1-(((MIN((K$9),99))/100))+5.0))))*100))/100))*0.96)),(((((MIN((K8),99))/100))+5.0)/(1-(((MIN((K8),99))/100))+5.0))))*100))/100))*0.96)),(((((MIN(($K$7),99))/100))+5.0)/(1-(((MIN(($K$7),99))/100))+5.0))))*100))/100))*0.96)),(((((MIN(($K$6),99))/100))+5.0)/(1-(((MIN(($K$6),99))/100))+5.0))))*100))/100))*0.96)),(((((MIN((K$5),99))/100))+5.0)/(1-(((MIN((K$5),99))/100))+5.0))))*100))/100))*0.96)),(((((MIN(($K$4),99))/100))+5.0)/(1-(((MIN(($K$4),99))/100))+5.0))))*100))/100))*0.96)),(((((MIN(($K$3),99))/100))+5.0)/(1-(((MIN(($K$3),99))/100))+5.0))))*100))/100))*0.96)),(((((MIN(($K2),99))/100))+5.0)/(1-(((MIN(($K2),99))/100))+5.0))))*100))/100))*0.96)),(((((MIN((K1),99))/100))+5.0)/(1-(((MIN((K1),99))/100))+5.0))))*100),0)</f>
        <v/>
      </c>
      <c r="L12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(5)/100))*0.96)),(((((MIN((K12),99))/100))+5.0)/(1-(((MIN((K12),99))/100))+5.0))))*100))/100))*0.96)),(((((MIN(($J12),99))/100))+5.0)/(1-(((MIN(($J12),99))/100))+5.0))))*100))/100))*0.96)),(((((MIN((I$12),99))/100))+5.0)/(1-(((MIN((I$12),99))/100))+5.0))))*100))/100))*0.96)),(((((MIN((H$12),99))/100))+5.0)/(1-(((MIN((H$12),99))/100))+5.0))))*100))/100))*0.96)),(((((MIN((G12),99))/100))+5.0)/(1-(((MIN((G12),99))/100))+5.0))))*100))/100))*0.96)),(((((MIN(($F$12),99))/100))+5.0)/(1-(((MIN(($F$12),99))/100))+5.0))))*100))/100))*0.96)),(((((MIN(($E$12),99))/100))+5.0)/(1-(((MIN(($E$12),99))/100))+5.0))))*100))/100))*0.96)),(((((MIN(($D$12),99))/100))+5.0)/(1-(((MIN(($D$12),99))/100))+5.0))))*100))/100))*0.96)),(((((MIN(($L11),99))/100))+5.0)/(1-(((MIN(($L11),99))/100))+5.0))))*100))/100))*0.96)),(((((MIN(($L10),99))/100))+5.0)/(1-(((MIN(($L10),99))/100))+5.0))))*100))/100))*0.96)),(((((MIN(($L$9),99))/100))+5.0)/(1-(((MIN(($L$9),99))/100))+5.0))))*100))/100))*0.96)),(((((MIN(($L8),99))/100))+5.0)/(1-(((MIN(($L8),99))/100))+5.0))))*100))/100))*0.96)),(((((MIN((L7),99))/100))+5.0)/(1-(((MIN((L7),99))/100))+5.0))))*100))/100))*0.96)),(((((MIN((L6),99))/100))+5.0)/(1-(((MIN((L6),99))/100))+5.0))))*100))/100))*0.96)),(((((MIN((L$5),99))/100))+5.0)/(1-(((MIN((L$5),99))/100))+5.0))))*100))/100))*0.96)),(((((MIN(($L$4),99))/100))+5.0)/(1-(((MIN(($L$4),99))/100))+5.0))))*100))/100))*0.96)),(((((MIN((L$3),99))/100))+5.0)/(1-(((MIN((L$3),99))/100))+5.0))))*100))/100))*0.96)),(((((MIN((L$2),99))/100))+5.0)/(1-(((MIN((L$2),99))/100))+5.0))))*100))/100))*0.96)),(((((MIN((L1),99))/100))+5.0)/(1-(((MIN((L1),99))/100))+5.0))))*100),0)</f>
        <v/>
      </c>
      <c r="M12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(27)/100))*0.96)),(((((MIN((L$12),99))/100))+5.0)/(1-(((MIN((L$12),99))/100))+5.0))))*100))/100))*0.96)),(((((MIN(($K$12),99))/100))+5.0)/(1-(((MIN(($K$12),99))/100))+5.0))))*100))/100))*0.96)),(((((MIN((J$12),99))/100))+5.0)/(1-(((MIN((J$12),99))/100))+5.0))))*100))/100))*0.96)),(((((MIN((I$12),99))/100))+5.0)/(1-(((MIN((I$12),99))/100))+5.0))))*100))/100))*0.96)),(((((MIN((H12),99))/100))+5.0)/(1-(((MIN((H12),99))/100))+5.0))))*100))/100))*0.96)),(((((MIN((G$12),99))/100))+5.0)/(1-(((MIN((G$12),99))/100))+5.0))))*100))/100))*0.96)),(((((MIN(($F12),99))/100))+5.0)/(1-(((MIN(($F12),99))/100))+5.0))))*100))/100))*0.96)),(((((MIN((E$12),99))/100))+5.0)/(1-(((MIN((E$12),99))/100))+5.0))))*100))/100))*0.96)),(((((MIN(($M11),99))/100))+5.0)/(1-(((MIN(($M11),99))/100))+5.0))))*100))/100))*0.96)),(((((MIN(($M10),99))/100))+5.0)/(1-(((MIN(($M10),99))/100))+5.0))))*100))/100))*0.96)),(((((MIN((M$9),99))/100))+5.0)/(1-(((MIN((M$9),99))/100))+5.0))))*100))/100))*0.96)),(((((MIN((M8),99))/100))+5.0)/(1-(((MIN((M8),99))/100))+5.0))))*100))/100))*0.96)),(((((MIN(($M$7),99))/100))+5.0)/(1-(((MIN(($M$7),99))/100))+5.0))))*100))/100))*0.96)),(((((MIN((M$6),99))/100))+5.0)/(1-(((MIN((M$6),99))/100))+5.0))))*100))/100))*0.96)),(((((MIN(($M$5),99))/100))+5.0)/(1-(((MIN(($M$5),99))/100))+5.0))))*100))/100))*0.96)),(((((MIN((M$4),99))/100))+5.0)/(1-(((MIN((M$4),99))/100))+5.0))))*100))/100))*0.96)),(((((MIN(($M3),99))/100))+5.0)/(1-(((MIN(($M3),99))/100))+5.0))))*100))/100))*0.96)),(((((MIN((M2),99))/100))+5.0)/(1-(((MIN((M2),99))/100))+5.0))))*100))/100))*0.96)),(((((MIN((M$1),99))/100))+5.0)/(1-(((MIN((M$1),99))/100))+5.0))))*100),0)</f>
        <v/>
      </c>
      <c r="N12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(57)/100))*0.96)),(((((MIN(($M$12),99))/100))+5.0)/(1-(((MIN(($M$12),99))/100))+5.0))))*100))/100))*0.96)),(((((MIN(($L12),99))/100))+5.0)/(1-(((MIN(($L12),99))/100))+5.0))))*100))/100))*0.96)),(((((MIN((K12),99))/100))+5.0)/(1-(((MIN((K12),99))/100))+5.0))))*100))/100))*0.96)),(((((MIN(($J12),99))/100))+5.0)/(1-(((MIN(($J12),99))/100))+5.0))))*100))/100))*0.96)),(((((MIN((I$12),99))/100))+5.0)/(1-(((MIN((I$12),99))/100))+5.0))))*100))/100))*0.96)),(((((MIN(($H12),99))/100))+5.0)/(1-(((MIN(($H12),99))/100))+5.0))))*100))/100))*0.96)),(((((MIN(($G12),99))/100))+5.0)/(1-(((MIN(($G12),99))/100))+5.0))))*100))/100))*0.96)),(((((MIN(($F12),99))/100))+5.0)/(1-(((MIN(($F12),99))/100))+5.0))))*100))/100))*0.96)),(((((MIN(($N$11),99))/100))+5.0)/(1-(((MIN(($N$11),99))/100))+5.0))))*100))/100))*0.96)),(((((MIN((N$10),99))/100))+5.0)/(1-(((MIN((N$10),99))/100))+5.0))))*100))/100))*0.96)),(((((MIN((N$9),99))/100))+5.0)/(1-(((MIN((N$9),99))/100))+5.0))))*100))/100))*0.96)),(((((MIN((N8),99))/100))+5.0)/(1-(((MIN((N8),99))/100))+5.0))))*100))/100))*0.96)),(((((MIN((N7),99))/100))+5.0)/(1-(((MIN((N7),99))/100))+5.0))))*100))/100))*0.96)),(((((MIN((N6),99))/100))+5.0)/(1-(((MIN((N6),99))/100))+5.0))))*100))/100))*0.96)),(((((MIN((N5),99))/100))+5.0)/(1-(((MIN((N5),99))/100))+5.0))))*100))/100))*0.96)),(((((MIN(($N$4),99))/100))+5.0)/(1-(((MIN(($N$4),99))/100))+5.0))))*100))/100))*0.96)),(((((MIN((N$3),99))/100))+5.0)/(1-(((MIN((N$3),99))/100))+5.0))))*100))/100))*0.96)),(((((MIN(($N2),99))/100))+5.0)/(1-(((MIN(($N2),99))/100))+5.0))))*100))/100))*0.96)),(((((MIN(($N1),99))/100))+5.0)/(1-(((MIN(($N1),99))/100))+5.0))))*100),0)</f>
        <v/>
      </c>
      <c r="O12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(11)/100))*0.96)),(((((MIN(($N12),99))/100))+5.0)/(1-(((MIN(($N12),99))/100))+5.0))))*100))/100))*0.96)),(((((MIN((M12),99))/100))+5.0)/(1-(((MIN((M12),99))/100))+5.0))))*100))/100))*0.96)),(((((MIN((L$12),99))/100))+5.0)/(1-(((MIN((L$12),99))/100))+5.0))))*100))/100))*0.96)),(((((MIN((K$12),99))/100))+5.0)/(1-(((MIN((K$12),99))/100))+5.0))))*100))/100))*0.96)),(((((MIN((J$12),99))/100))+5.0)/(1-(((MIN((J$12),99))/100))+5.0))))*100))/100))*0.96)),(((((MIN((I$12),99))/100))+5.0)/(1-(((MIN((I$12),99))/100))+5.0))))*100))/100))*0.96)),(((((MIN((H12),99))/100))+5.0)/(1-(((MIN((H12),99))/100))+5.0))))*100))/100))*0.96)),(((((MIN(($G12),99))/100))+5.0)/(1-(((MIN(($G12),99))/100))+5.0))))*100))/100))*0.96)),(((((MIN((O11),99))/100))+5.0)/(1-(((MIN((O11),99))/100))+5.0))))*100))/100))*0.96)),(((((MIN((O$10),99))/100))+5.0)/(1-(((MIN((O$10),99))/100))+5.0))))*100))/100))*0.96)),(((((MIN(($O9),99))/100))+5.0)/(1-(((MIN(($O9),99))/100))+5.0))))*100))/100))*0.96)),(((((MIN(($O$8),99))/100))+5.0)/(1-(((MIN(($O$8),99))/100))+5.0))))*100))/100))*0.96)),(((((MIN((O$7),99))/100))+5.0)/(1-(((MIN((O$7),99))/100))+5.0))))*100))/100))*0.96)),(((((MIN(($O6),99))/100))+5.0)/(1-(((MIN(($O6),99))/100))+5.0))))*100))/100))*0.96)),(((((MIN(($O5),99))/100))+5.0)/(1-(((MIN(($O5),99))/100))+5.0))))*100))/100))*0.96)),(((((MIN(($O$4),99))/100))+5.0)/(1-(((MIN(($O$4),99))/100))+5.0))))*100))/100))*0.96)),(((((MIN((O3),99))/100))+5.0)/(1-(((MIN((O3),99))/100))+5.0))))*100))/100))*0.96)),(((((MIN((O2),99))/100))+5.0)/(1-(((MIN((O2),99))/100))+5.0))))*100))/100))*0.96)),(((((MIN(($O$1),99))/100))+5.0)/(1-(((MIN(($O$1),99))/100))+5.0))))*100),0)</f>
        <v/>
      </c>
      <c r="P12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(47)/100))*0.96)),(((((MIN((O$12),99))/100))+5.0)/(1-(((MIN((O$12),99))/100))+5.0))))*100))/100))*0.96)),(((((MIN(($N$12),99))/100))+5.0)/(1-(((MIN(($N$12),99))/100))+5.0))))*100))/100))*0.96)),(((((MIN((M12),99))/100))+5.0)/(1-(((MIN((M12),99))/100))+5.0))))*100))/100))*0.96)),(((((MIN(($L12),99))/100))+5.0)/(1-(((MIN(($L12),99))/100))+5.0))))*100))/100))*0.96)),(((((MIN(($K12),99))/100))+5.0)/(1-(((MIN(($K12),99))/100))+5.0))))*100))/100))*0.96)),(((((MIN((J$12),99))/100))+5.0)/(1-(((MIN((J$12),99))/100))+5.0))))*100))/100))*0.96)),(((((MIN((I$12),99))/100))+5.0)/(1-(((MIN((I$12),99))/100))+5.0))))*100))/100))*0.96)),(((((MIN(($H12),99))/100))+5.0)/(1-(((MIN(($H12),99))/100))+5.0))))*100))/100))*0.96)),(((((MIN(($P11),99))/100))+5.0)/(1-(((MIN(($P11),99))/100))+5.0))))*100))/100))*0.96)),(((((MIN((P$10),99))/100))+5.0)/(1-(((MIN((P$10),99))/100))+5.0))))*100))/100))*0.96)),(((((MIN(($P9),99))/100))+5.0)/(1-(((MIN(($P9),99))/100))+5.0))))*100))/100))*0.96)),(((((MIN((P8),99))/100))+5.0)/(1-(((MIN((P8),99))/100))+5.0))))*100))/100))*0.96)),(((((MIN(($P7),99))/100))+5.0)/(1-(((MIN(($P7),99))/100))+5.0))))*100))/100))*0.96)),(((((MIN((P6),99))/100))+5.0)/(1-(((MIN((P6),99))/100))+5.0))))*100))/100))*0.96)),(((((MIN((P5),99))/100))+5.0)/(1-(((MIN((P5),99))/100))+5.0))))*100))/100))*0.96)),(((((MIN((P$4),99))/100))+5.0)/(1-(((MIN((P$4),99))/100))+5.0))))*100))/100))*0.96)),(((((MIN(($P$3),99))/100))+5.0)/(1-(((MIN(($P$3),99))/100))+5.0))))*100))/100))*0.96)),(((((MIN((P2),99))/100))+5.0)/(1-(((MIN((P2),99))/100))+5.0))))*100))/100))*0.96)),(((((MIN((P1),99))/100))+5.0)/(1-(((MIN((P1),99))/100))+5.0))))*100),0)</f>
        <v/>
      </c>
      <c r="Q12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(13)/100))*0.96)),(((((MIN((P12),99))/100))+5.0)/(1-(((MIN((P12),99))/100))+5.0))))*100))/100))*0.96)),(((((MIN(($O12),99))/100))+5.0)/(1-(((MIN(($O12),99))/100))+5.0))))*100))/100))*0.96)),(((((MIN(($N$12),99))/100))+5.0)/(1-(((MIN(($N$12),99))/100))+5.0))))*100))/100))*0.96)),(((((MIN((M12),99))/100))+5.0)/(1-(((MIN((M12),99))/100))+5.0))))*100))/100))*0.96)),(((((MIN(($L$12),99))/100))+5.0)/(1-(((MIN(($L$12),99))/100))+5.0))))*100))/100))*0.96)),(((((MIN((K12),99))/100))+5.0)/(1-(((MIN((K12),99))/100))+5.0))))*100))/100))*0.96)),(((((MIN(($J$12),99))/100))+5.0)/(1-(((MIN(($J$12),99))/100))+5.0))))*100))/100))*0.96)),(((((MIN((I12),99))/100))+5.0)/(1-(((MIN((I12),99))/100))+5.0))))*100))/100))*0.96)),(((((MIN((Q$11),99))/100))+5.0)/(1-(((MIN((Q$11),99))/100))+5.0))))*100))/100))*0.96)),(((((MIN(($Q10),99))/100))+5.0)/(1-(((MIN(($Q10),99))/100))+5.0))))*100))/100))*0.96)),(((((MIN(($Q$9),99))/100))+5.0)/(1-(((MIN(($Q$9),99))/100))+5.0))))*100))/100))*0.96)),(((((MIN(($Q$8),99))/100))+5.0)/(1-(((MIN(($Q$8),99))/100))+5.0))))*100))/100))*0.96)),(((((MIN((Q$7),99))/100))+5.0)/(1-(((MIN((Q$7),99))/100))+5.0))))*100))/100))*0.96)),(((((MIN((Q6),99))/100))+5.0)/(1-(((MIN((Q6),99))/100))+5.0))))*100))/100))*0.96)),(((((MIN(($Q5),99))/100))+5.0)/(1-(((MIN(($Q5),99))/100))+5.0))))*100))/100))*0.96)),(((((MIN((Q$4),99))/100))+5.0)/(1-(((MIN((Q$4),99))/100))+5.0))))*100))/100))*0.96)),(((((MIN(($Q3),99))/100))+5.0)/(1-(((MIN(($Q3),99))/100))+5.0))))*100))/100))*0.96)),(((((MIN(($Q2),99))/100))+5.0)/(1-(((MIN(($Q2),99))/100))+5.0))))*100))/100))*0.96)),(((((MIN((Q1),99))/100))+5.0)/(1-(((MIN((Q1),99))/100))+5.0))))*100),0)</f>
        <v/>
      </c>
      <c r="R12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(37)/100))*0.96)),(((((MIN((Q12),99))/100))+5.0)/(1-(((MIN((Q12),99))/100))+5.0))))*100))/100))*0.96)),(((((MIN(($P$12),99))/100))+5.0)/(1-(((MIN(($P$12),99))/100))+5.0))))*100))/100))*0.96)),(((((MIN((O12),99))/100))+5.0)/(1-(((MIN((O12),99))/100))+5.0))))*100))/100))*0.96)),(((((MIN(($N$12),99))/100))+5.0)/(1-(((MIN(($N$12),99))/100))+5.0))))*100))/100))*0.96)),(((((MIN(($M$12),99))/100))+5.0)/(1-(((MIN(($M$12),99))/100))+5.0))))*100))/100))*0.96)),(((((MIN(($L12),99))/100))+5.0)/(1-(((MIN(($L12),99))/100))+5.0))))*100))/100))*0.96)),(((((MIN(($K$12),99))/100))+5.0)/(1-(((MIN(($K$12),99))/100))+5.0))))*100))/100))*0.96)),(((((MIN(($J$12),99))/100))+5.0)/(1-(((MIN(($J$12),99))/100))+5.0))))*100))/100))*0.96)),(((((MIN((R11),99))/100))+5.0)/(1-(((MIN((R11),99))/100))+5.0))))*100))/100))*0.96)),(((((MIN((R10),99))/100))+5.0)/(1-(((MIN((R10),99))/100))+5.0))))*100))/100))*0.96)),(((((MIN(($R$9),99))/100))+5.0)/(1-(((MIN(($R$9),99))/100))+5.0))))*100))/100))*0.96)),(((((MIN(($R$8),99))/100))+5.0)/(1-(((MIN(($R$8),99))/100))+5.0))))*100))/100))*0.96)),(((((MIN((R$7),99))/100))+5.0)/(1-(((MIN((R$7),99))/100))+5.0))))*100))/100))*0.96)),(((((MIN(($R$6),99))/100))+5.0)/(1-(((MIN(($R$6),99))/100))+5.0))))*100))/100))*0.96)),(((((MIN(($R$5),99))/100))+5.0)/(1-(((MIN(($R$5),99))/100))+5.0))))*100))/100))*0.96)),(((((MIN((R$4),99))/100))+5.0)/(1-(((MIN((R$4),99))/100))+5.0))))*100))/100))*0.96)),(((((MIN((R3),99))/100))+5.0)/(1-(((MIN((R3),99))/100))+5.0))))*100))/100))*0.96)),(((((MIN(($R$2),99))/100))+5.0)/(1-(((MIN(($R$2),99))/100))+5.0))))*100))/100))*0.96)),(((((MIN(($R$1),99))/100))+5.0)/(1-(((MIN(($R$1),99))/100))+5.0))))*100),0)</f>
        <v/>
      </c>
      <c r="S12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(45)/100))*0.96)),(((((MIN((R$12),99))/100))+5.0)/(1-(((MIN((R$12),99))/100))+5.0))))*100))/100))*0.96)),(((((MIN((Q12),99))/100))+5.0)/(1-(((MIN((Q12),99))/100))+5.0))))*100))/100))*0.96)),(((((MIN(($P12),99))/100))+5.0)/(1-(((MIN(($P12),99))/100))+5.0))))*100))/100))*0.96)),(((((MIN((O12),99))/100))+5.0)/(1-(((MIN((O12),99))/100))+5.0))))*100))/100))*0.96)),(((((MIN((N$12),99))/100))+5.0)/(1-(((MIN((N$12),99))/100))+5.0))))*100))/100))*0.96)),(((((MIN((M$12),99))/100))+5.0)/(1-(((MIN((M$12),99))/100))+5.0))))*100))/100))*0.96)),(((((MIN(($L$12),99))/100))+5.0)/(1-(((MIN(($L$12),99))/100))+5.0))))*100))/100))*0.96)),(((((MIN(($K12),99))/100))+5.0)/(1-(((MIN(($K12),99))/100))+5.0))))*100))/100))*0.96)),(((((MIN(($S11),99))/100))+5.0)/(1-(((MIN(($S11),99))/100))+5.0))))*100))/100))*0.96)),(((((MIN(($S$10),99))/100))+5.0)/(1-(((MIN(($S$10),99))/100))+5.0))))*100))/100))*0.96)),(((((MIN((S$9),99))/100))+5.0)/(1-(((MIN((S$9),99))/100))+5.0))))*100))/100))*0.96)),(((((MIN((S8),99))/100))+5.0)/(1-(((MIN((S8),99))/100))+5.0))))*100))/100))*0.96)),(((((MIN(($S7),99))/100))+5.0)/(1-(((MIN(($S7),99))/100))+5.0))))*100))/100))*0.96)),(((((MIN((S6),99))/100))+5.0)/(1-(((MIN((S6),99))/100))+5.0))))*100))/100))*0.96)),(((((MIN(($S5),99))/100))+5.0)/(1-(((MIN(($S5),99))/100))+5.0))))*100))/100))*0.96)),(((((MIN((S$4),99))/100))+5.0)/(1-(((MIN((S$4),99))/100))+5.0))))*100))/100))*0.96)),(((((MIN((S$3),99))/100))+5.0)/(1-(((MIN((S$3),99))/100))+5.0))))*100))/100))*0.96)),(((((MIN(($S2),99))/100))+5.0)/(1-(((MIN(($S2),99))/100))+5.0))))*100))/100))*0.96)),(((((MIN((S$1),99))/100))+5.0)/(1-(((MIN((S$1),99))/100))+5.0))))*100),0)</f>
        <v/>
      </c>
      <c r="T12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(8)/100))*0.96)),(((((MIN(($S12),99))/100))+5.0)/(1-(((MIN(($S12),99))/100))+5.0))))*100))/100))*0.96)),(((((MIN(($R$12),99))/100))+5.0)/(1-(((MIN(($R$12),99))/100))+5.0))))*100))/100))*0.96)),(((((MIN((Q$12),99))/100))+5.0)/(1-(((MIN((Q$12),99))/100))+5.0))))*100))/100))*0.96)),(((((MIN((P12),99))/100))+5.0)/(1-(((MIN((P12),99))/100))+5.0))))*100))/100))*0.96)),(((((MIN((O$12),99))/100))+5.0)/(1-(((MIN((O$12),99))/100))+5.0))))*100))/100))*0.96)),(((((MIN((N12),99))/100))+5.0)/(1-(((MIN((N12),99))/100))+5.0))))*100))/100))*0.96)),(((((MIN(($M12),99))/100))+5.0)/(1-(((MIN(($M12),99))/100))+5.0))))*100))/100))*0.96)),(((((MIN((L12),99))/100))+5.0)/(1-(((MIN((L12),99))/100))+5.0))))*100))/100))*0.96)),(((((MIN(($T11),99))/100))+5.0)/(1-(((MIN(($T11),99))/100))+5.0))))*100))/100))*0.96)),(((((MIN(($T10),99))/100))+5.0)/(1-(((MIN(($T10),99))/100))+5.0))))*100))/100))*0.96)),(((((MIN((T9),99))/100))+5.0)/(1-(((MIN((T9),99))/100))+5.0))))*100))/100))*0.96)),(((((MIN(($T8),99))/100))+5.0)/(1-(((MIN(($T8),99))/100))+5.0))))*100))/100))*0.96)),(((((MIN(($T$7),99))/100))+5.0)/(1-(((MIN(($T$7),99))/100))+5.0))))*100))/100))*0.96)),(((((MIN((T$6),99))/100))+5.0)/(1-(((MIN((T$6),99))/100))+5.0))))*100))/100))*0.96)),(((((MIN((T5),99))/100))+5.0)/(1-(((MIN((T5),99))/100))+5.0))))*100))/100))*0.96)),(((((MIN(($T4),99))/100))+5.0)/(1-(((MIN(($T4),99))/100))+5.0))))*100))/100))*0.96)),(((((MIN((T3),99))/100))+5.0)/(1-(((MIN((T3),99))/100))+5.0))))*100))/100))*0.96)),(((((MIN(($T$2),99))/100))+5.0)/(1-(((MIN(($T$2),99))/100))+5.0))))*100))/100))*0.96)),(((((MIN((T$1),99))/100))+5.0)/(1-(((MIN((T$1),99))/100))+5.0))))*100),0)</f>
        <v/>
      </c>
    </row>
    <row r="13">
      <c r="A1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(51)/100))*0.96)),(((((MIN(($A$12),99))/100))+5.0)/(1-(((MIN(($A$12),99))/100))+5.0))))*100))/100))*0.96)),(((((MIN((A$11),99))/100))+5.0)/(1-(((MIN((A$11),99))/100))+5.0))))*100))/100))*0.96)),(((((MIN((A$10),99))/100))+5.0)/(1-(((MIN((A$10),99))/100))+5.0))))*100))/100))*0.96)),(((((MIN(($A$9),99))/100))+5.0)/(1-(((MIN(($A$9),99))/100))+5.0))))*100))/100))*0.96)),(((((MIN((A8),99))/100))+5.0)/(1-(((MIN((A8),99))/100))+5.0))))*100))/100))*0.96)),(((((MIN((A$7),99))/100))+5.0)/(1-(((MIN((A$7),99))/100))+5.0))))*100))/100))*0.96)),(((((MIN(($A$6),99))/100))+5.0)/(1-(((MIN(($A$6),99))/100))+5.0))))*100))/100))*0.96)),(((((MIN(($A$5),99))/100))+5.0)/(1-(((MIN(($A$5),99))/100))+5.0))))*100))/100))*0.96)),(((((MIN((A$4),99))/100))+5.0)/(1-(((MIN((A$4),99))/100))+5.0))))*100))/100))*0.96)),(((((MIN(($A$3),99))/100))+5.0)/(1-(((MIN(($A$3),99))/100))+5.0))))*100))/100))*0.96)),(((((MIN(($A$2),99))/100))+5.0)/(1-(((MIN(($A$2),99))/100))+5.0))))*100))/100))*0.96)),(((((MIN(($A1),99))/100))+5.0)/(1-(((MIN(($A1),99))/100))+5.0))))*100),0)</f>
        <v/>
      </c>
      <c r="B1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(95)/100))*0.96)),(((((MIN(($A$13),99))/100))+5.0)/(1-(((MIN(($A$13),99))/100))+5.0))))*100))/100))*0.96)),(((((MIN((B12),99))/100))+5.0)/(1-(((MIN((B12),99))/100))+5.0))))*100))/100))*0.96)),(((((MIN((B$11),99))/100))+5.0)/(1-(((MIN((B$11),99))/100))+5.0))))*100))/100))*0.96)),(((((MIN((B$10),99))/100))+5.0)/(1-(((MIN((B$10),99))/100))+5.0))))*100))/100))*0.96)),(((((MIN((B9),99))/100))+5.0)/(1-(((MIN((B9),99))/100))+5.0))))*100))/100))*0.96)),(((((MIN(($B$8),99))/100))+5.0)/(1-(((MIN(($B$8),99))/100))+5.0))))*100))/100))*0.96)),(((((MIN(($B7),99))/100))+5.0)/(1-(((MIN(($B7),99))/100))+5.0))))*100))/100))*0.96)),(((((MIN(($B$6),99))/100))+5.0)/(1-(((MIN(($B$6),99))/100))+5.0))))*100))/100))*0.96)),(((((MIN((B5),99))/100))+5.0)/(1-(((MIN((B5),99))/100))+5.0))))*100))/100))*0.96)),(((((MIN(($B4),99))/100))+5.0)/(1-(((MIN(($B4),99))/100))+5.0))))*100))/100))*0.96)),(((((MIN((B3),99))/100))+5.0)/(1-(((MIN((B3),99))/100))+5.0))))*100))/100))*0.96)),(((((MIN(($B2),99))/100))+5.0)/(1-(((MIN(($B2),99))/100))+5.0))))*100))/100))*0.96)),(((((MIN(($B$1),99))/100))+5.0)/(1-(((MIN(($B$1),99))/100))+5.0))))*100),0)</f>
        <v/>
      </c>
      <c r="C1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(14)/100))*0.96)),(((((MIN(($B$13),99))/100))+5.0)/(1-(((MIN(($B$13),99))/100))+5.0))))*100))/100))*0.96)),(((((MIN(($A$13),99))/100))+5.0)/(1-(((MIN(($A$13),99))/100))+5.0))))*100))/100))*0.96)),(((((MIN((C12),99))/100))+5.0)/(1-(((MIN((C12),99))/100))+5.0))))*100))/100))*0.96)),(((((MIN((C11),99))/100))+5.0)/(1-(((MIN((C11),99))/100))+5.0))))*100))/100))*0.96)),(((((MIN((C$10),99))/100))+5.0)/(1-(((MIN((C$10),99))/100))+5.0))))*100))/100))*0.96)),(((((MIN(($C$9),99))/100))+5.0)/(1-(((MIN(($C$9),99))/100))+5.0))))*100))/100))*0.96)),(((((MIN((C$8),99))/100))+5.0)/(1-(((MIN((C$8),99))/100))+5.0))))*100))/100))*0.96)),(((((MIN(($C7),99))/100))+5.0)/(1-(((MIN(($C7),99))/100))+5.0))))*100))/100))*0.96)),(((((MIN((C$6),99))/100))+5.0)/(1-(((MIN((C$6),99))/100))+5.0))))*100))/100))*0.96)),(((((MIN(($C$5),99))/100))+5.0)/(1-(((MIN(($C$5),99))/100))+5.0))))*100))/100))*0.96)),(((((MIN(($C$4),99))/100))+5.0)/(1-(((MIN(($C$4),99))/100))+5.0))))*100))/100))*0.96)),(((((MIN((C3),99))/100))+5.0)/(1-(((MIN((C3),99))/100))+5.0))))*100))/100))*0.96)),(((((MIN(($C2),99))/100))+5.0)/(1-(((MIN(($C2),99))/100))+5.0))))*100))/100))*0.96)),(((((MIN(($C1),99))/100))+5.0)/(1-(((MIN(($C1),99))/100))+5.0))))*100),0)</f>
        <v/>
      </c>
      <c r="D1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(76)/100))*0.96)),(((((MIN((C$13),99))/100))+5.0)/(1-(((MIN((C$13),99))/100))+5.0))))*100))/100))*0.96)),(((((MIN((B$13),99))/100))+5.0)/(1-(((MIN((B$13),99))/100))+5.0))))*100))/100))*0.96)),(((((MIN((A13),99))/100))+5.0)/(1-(((MIN((A13),99))/100))+5.0))))*100))/100))*0.96)),(((((MIN(($D12),99))/100))+5.0)/(1-(((MIN(($D12),99))/100))+5.0))))*100))/100))*0.96)),(((((MIN(($D11),99))/100))+5.0)/(1-(((MIN(($D11),99))/100))+5.0))))*100))/100))*0.96)),(((((MIN((D10),99))/100))+5.0)/(1-(((MIN((D10),99))/100))+5.0))))*100))/100))*0.96)),(((((MIN((D9),99))/100))+5.0)/(1-(((MIN((D9),99))/100))+5.0))))*100))/100))*0.96)),(((((MIN((D8),99))/100))+5.0)/(1-(((MIN((D8),99))/100))+5.0))))*100))/100))*0.96)),(((((MIN((D$7),99))/100))+5.0)/(1-(((MIN((D$7),99))/100))+5.0))))*100))/100))*0.96)),(((((MIN((D6),99))/100))+5.0)/(1-(((MIN((D6),99))/100))+5.0))))*100))/100))*0.96)),(((((MIN((D5),99))/100))+5.0)/(1-(((MIN((D5),99))/100))+5.0))))*100))/100))*0.96)),(((((MIN((D$4),99))/100))+5.0)/(1-(((MIN((D$4),99))/100))+5.0))))*100))/100))*0.96)),(((((MIN((D$3),99))/100))+5.0)/(1-(((MIN((D$3),99))/100))+5.0))))*100))/100))*0.96)),(((((MIN(($D2),99))/100))+5.0)/(1-(((MIN(($D2),99))/100))+5.0))))*100))/100))*0.96)),(((((MIN((D1),99))/100))+5.0)/(1-(((MIN((D1),99))/100))+5.0))))*100),0)</f>
        <v/>
      </c>
      <c r="E1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(25)/100))*0.96)),(((((MIN(($D13),99))/100))+5.0)/(1-(((MIN(($D13),99))/100))+5.0))))*100))/100))*0.96)),(((((MIN(($C$13),99))/100))+5.0)/(1-(((MIN(($C$13),99))/100))+5.0))))*100))/100))*0.96)),(((((MIN((B13),99))/100))+5.0)/(1-(((MIN((B13),99))/100))+5.0))))*100))/100))*0.96)),(((((MIN(($A$13),99))/100))+5.0)/(1-(((MIN(($A$13),99))/100))+5.0))))*100))/100))*0.96)),(((((MIN((E$12),99))/100))+5.0)/(1-(((MIN((E$12),99))/100))+5.0))))*100))/100))*0.96)),(((((MIN(($E$11),99))/100))+5.0)/(1-(((MIN(($E$11),99))/100))+5.0))))*100))/100))*0.96)),(((((MIN(($E10),99))/100))+5.0)/(1-(((MIN(($E10),99))/100))+5.0))))*100))/100))*0.96)),(((((MIN((E9),99))/100))+5.0)/(1-(((MIN((E9),99))/100))+5.0))))*100))/100))*0.96)),(((((MIN(($E8),99))/100))+5.0)/(1-(((MIN(($E8),99))/100))+5.0))))*100))/100))*0.96)),(((((MIN((E7),99))/100))+5.0)/(1-(((MIN((E7),99))/100))+5.0))))*100))/100))*0.96)),(((((MIN((E6),99))/100))+5.0)/(1-(((MIN((E6),99))/100))+5.0))))*100))/100))*0.96)),(((((MIN((E$5),99))/100))+5.0)/(1-(((MIN((E$5),99))/100))+5.0))))*100))/100))*0.96)),(((((MIN((E4),99))/100))+5.0)/(1-(((MIN((E4),99))/100))+5.0))))*100))/100))*0.96)),(((((MIN((E$3),99))/100))+5.0)/(1-(((MIN((E$3),99))/100))+5.0))))*100))/100))*0.96)),(((((MIN(($E2),99))/100))+5.0)/(1-(((MIN(($E2),99))/100))+5.0))))*100))/100))*0.96)),(((((MIN((E$1),99))/100))+5.0)/(1-(((MIN((E$1),99))/100))+5.0))))*100),0)</f>
        <v/>
      </c>
      <c r="F1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(34)/100))*0.96)),(((((MIN(($E13),99))/100))+5.0)/(1-(((MIN(($E13),99))/100))+5.0))))*100))/100))*0.96)),(((((MIN(($D$13),99))/100))+5.0)/(1-(((MIN(($D$13),99))/100))+5.0))))*100))/100))*0.96)),(((((MIN(($C$13),99))/100))+5.0)/(1-(((MIN(($C$13),99))/100))+5.0))))*100))/100))*0.96)),(((((MIN((B$13),99))/100))+5.0)/(1-(((MIN((B$13),99))/100))+5.0))))*100))/100))*0.96)),(((((MIN(($A13),99))/100))+5.0)/(1-(((MIN(($A13),99))/100))+5.0))))*100))/100))*0.96)),(((((MIN(($F$12),99))/100))+5.0)/(1-(((MIN(($F$12),99))/100))+5.0))))*100))/100))*0.96)),(((((MIN(($F11),99))/100))+5.0)/(1-(((MIN(($F11),99))/100))+5.0))))*100))/100))*0.96)),(((((MIN((F10),99))/100))+5.0)/(1-(((MIN((F10),99))/100))+5.0))))*100))/100))*0.96)),(((((MIN((F9),99))/100))+5.0)/(1-(((MIN((F9),99))/100))+5.0))))*100))/100))*0.96)),(((((MIN((F8),99))/100))+5.0)/(1-(((MIN((F8),99))/100))+5.0))))*100))/100))*0.96)),(((((MIN((F7),99))/100))+5.0)/(1-(((MIN((F7),99))/100))+5.0))))*100))/100))*0.96)),(((((MIN(($F$6),99))/100))+5.0)/(1-(((MIN(($F$6),99))/100))+5.0))))*100))/100))*0.96)),(((((MIN((F$5),99))/100))+5.0)/(1-(((MIN((F$5),99))/100))+5.0))))*100))/100))*0.96)),(((((MIN(($F4),99))/100))+5.0)/(1-(((MIN(($F4),99))/100))+5.0))))*100))/100))*0.96)),(((((MIN((F3),99))/100))+5.0)/(1-(((MIN((F3),99))/100))+5.0))))*100))/100))*0.96)),(((((MIN((F$2),99))/100))+5.0)/(1-(((MIN((F$2),99))/100))+5.0))))*100))/100))*0.96)),(((((MIN(($F$1),99))/100))+5.0)/(1-(((MIN(($F$1),99))/100))+5.0))))*100),0)</f>
        <v/>
      </c>
      <c r="G1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(18)/100))*0.96)),(((((MIN(($F13),99))/100))+5.0)/(1-(((MIN(($F13),99))/100))+5.0))))*100))/100))*0.96)),(((((MIN(($E$13),99))/100))+5.0)/(1-(((MIN(($E$13),99))/100))+5.0))))*100))/100))*0.96)),(((((MIN(($D13),99))/100))+5.0)/(1-(((MIN(($D13),99))/100))+5.0))))*100))/100))*0.96)),(((((MIN(($C13),99))/100))+5.0)/(1-(((MIN(($C13),99))/100))+5.0))))*100))/100))*0.96)),(((((MIN((B$13),99))/100))+5.0)/(1-(((MIN((B$13),99))/100))+5.0))))*100))/100))*0.96)),(((((MIN(($A$13),99))/100))+5.0)/(1-(((MIN(($A$13),99))/100))+5.0))))*100))/100))*0.96)),(((((MIN(($G12),99))/100))+5.0)/(1-(((MIN(($G12),99))/100))+5.0))))*100))/100))*0.96)),(((((MIN(($G$11),99))/100))+5.0)/(1-(((MIN(($G$11),99))/100))+5.0))))*100))/100))*0.96)),(((((MIN((G10),99))/100))+5.0)/(1-(((MIN((G10),99))/100))+5.0))))*100))/100))*0.96)),(((((MIN(($G9),99))/100))+5.0)/(1-(((MIN(($G9),99))/100))+5.0))))*100))/100))*0.96)),(((((MIN((G8),99))/100))+5.0)/(1-(((MIN((G8),99))/100))+5.0))))*100))/100))*0.96)),(((((MIN(($G7),99))/100))+5.0)/(1-(((MIN(($G7),99))/100))+5.0))))*100))/100))*0.96)),(((((MIN((G6),99))/100))+5.0)/(1-(((MIN((G6),99))/100))+5.0))))*100))/100))*0.96)),(((((MIN(($G5),99))/100))+5.0)/(1-(((MIN(($G5),99))/100))+5.0))))*100))/100))*0.96)),(((((MIN((G4),99))/100))+5.0)/(1-(((MIN((G4),99))/100))+5.0))))*100))/100))*0.96)),(((((MIN((G3),99))/100))+5.0)/(1-(((MIN((G3),99))/100))+5.0))))*100))/100))*0.96)),(((((MIN((G2),99))/100))+5.0)/(1-(((MIN((G2),99))/100))+5.0))))*100))/100))*0.96)),(((((MIN((G$1),99))/100))+5.0)/(1-(((MIN((G$1),99))/100))+5.0))))*100),0)</f>
        <v/>
      </c>
      <c r="H1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(44)/100))*0.96)),(((((MIN(($G13),99))/100))+5.0)/(1-(((MIN(($G13),99))/100))+5.0))))*100))/100))*0.96)),(((((MIN(($F$13),99))/100))+5.0)/(1-(((MIN(($F$13),99))/100))+5.0))))*100))/100))*0.96)),(((((MIN(($E13),99))/100))+5.0)/(1-(((MIN(($E13),99))/100))+5.0))))*100))/100))*0.96)),(((((MIN((D$13),99))/100))+5.0)/(1-(((MIN((D$13),99))/100))+5.0))))*100))/100))*0.96)),(((((MIN(($C13),99))/100))+5.0)/(1-(((MIN(($C13),99))/100))+5.0))))*100))/100))*0.96)),(((((MIN((B13),99))/100))+5.0)/(1-(((MIN((B13),99))/100))+5.0))))*100))/100))*0.96)),(((((MIN((A13),99))/100))+5.0)/(1-(((MIN((A13),99))/100))+5.0))))*100))/100))*0.96)),(((((MIN(($H$12),99))/100))+5.0)/(1-(((MIN(($H$12),99))/100))+5.0))))*100))/100))*0.96)),(((((MIN((H11),99))/100))+5.0)/(1-(((MIN((H11),99))/100))+5.0))))*100))/100))*0.96)),(((((MIN((H$10),99))/100))+5.0)/(1-(((MIN((H$10),99))/100))+5.0))))*100))/100))*0.96)),(((((MIN(($H9),99))/100))+5.0)/(1-(((MIN(($H9),99))/100))+5.0))))*100))/100))*0.96)),(((((MIN(($H$8),99))/100))+5.0)/(1-(((MIN(($H$8),99))/100))+5.0))))*100))/100))*0.96)),(((((MIN((H$7),99))/100))+5.0)/(1-(((MIN((H$7),99))/100))+5.0))))*100))/100))*0.96)),(((((MIN((H6),99))/100))+5.0)/(1-(((MIN((H6),99))/100))+5.0))))*100))/100))*0.96)),(((((MIN((H5),99))/100))+5.0)/(1-(((MIN((H5),99))/100))+5.0))))*100))/100))*0.96)),(((((MIN(($H4),99))/100))+5.0)/(1-(((MIN(($H4),99))/100))+5.0))))*100))/100))*0.96)),(((((MIN(($H3),99))/100))+5.0)/(1-(((MIN(($H3),99))/100))+5.0))))*100))/100))*0.96)),(((((MIN(($H2),99))/100))+5.0)/(1-(((MIN(($H2),99))/100))+5.0))))*100))/100))*0.96)),(((((MIN(($H$1),99))/100))+5.0)/(1-(((MIN(($H$1),99))/100))+5.0))))*100),0)</f>
        <v/>
      </c>
      <c r="I1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(79)/100))*0.96)),(((((MIN((H13),99))/100))+5.0)/(1-(((MIN((H13),99))/100))+5.0))))*100))/100))*0.96)),(((((MIN((G13),99))/100))+5.0)/(1-(((MIN((G13),99))/100))+5.0))))*100))/100))*0.96)),(((((MIN((F$13),99))/100))+5.0)/(1-(((MIN((F$13),99))/100))+5.0))))*100))/100))*0.96)),(((((MIN((E13),99))/100))+5.0)/(1-(((MIN((E13),99))/100))+5.0))))*100))/100))*0.96)),(((((MIN((D$13),99))/100))+5.0)/(1-(((MIN((D$13),99))/100))+5.0))))*100))/100))*0.96)),(((((MIN(($C13),99))/100))+5.0)/(1-(((MIN(($C13),99))/100))+5.0))))*100))/100))*0.96)),(((((MIN(($B$13),99))/100))+5.0)/(1-(((MIN(($B$13),99))/100))+5.0))))*100))/100))*0.96)),(((((MIN((A13),99))/100))+5.0)/(1-(((MIN((A13),99))/100))+5.0))))*100))/100))*0.96)),(((((MIN((I$12),99))/100))+5.0)/(1-(((MIN((I$12),99))/100))+5.0))))*100))/100))*0.96)),(((((MIN((I11),99))/100))+5.0)/(1-(((MIN((I11),99))/100))+5.0))))*100))/100))*0.96)),(((((MIN((I10),99))/100))+5.0)/(1-(((MIN((I10),99))/100))+5.0))))*100))/100))*0.96)),(((((MIN((I9),99))/100))+5.0)/(1-(((MIN((I9),99))/100))+5.0))))*100))/100))*0.96)),(((((MIN(($I8),99))/100))+5.0)/(1-(((MIN(($I8),99))/100))+5.0))))*100))/100))*0.96)),(((((MIN((I$7),99))/100))+5.0)/(1-(((MIN((I$7),99))/100))+5.0))))*100))/100))*0.96)),(((((MIN(($I$6),99))/100))+5.0)/(1-(((MIN(($I$6),99))/100))+5.0))))*100))/100))*0.96)),(((((MIN(($I5),99))/100))+5.0)/(1-(((MIN(($I5),99))/100))+5.0))))*100))/100))*0.96)),(((((MIN(($I4),99))/100))+5.0)/(1-(((MIN(($I4),99))/100))+5.0))))*100))/100))*0.96)),(((((MIN(($I$3),99))/100))+5.0)/(1-(((MIN(($I$3),99))/100))+5.0))))*100))/100))*0.96)),(((((MIN((I2),99))/100))+5.0)/(1-(((MIN((I2),99))/100))+5.0))))*100))/100))*0.96)),(((((MIN((I1),99))/100))+5.0)/(1-(((MIN((I1),99))/100))+5.0))))*100),0)</f>
        <v/>
      </c>
      <c r="J1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(48)/100))*0.96)),(((((MIN(($I$13),99))/100))+5.0)/(1-(((MIN(($I$13),99))/100))+5.0))))*100))/100))*0.96)),(((((MIN((H13),99))/100))+5.0)/(1-(((MIN((H13),99))/100))+5.0))))*100))/100))*0.96)),(((((MIN((G13),99))/100))+5.0)/(1-(((MIN((G13),99))/100))+5.0))))*100))/100))*0.96)),(((((MIN((F13),99))/100))+5.0)/(1-(((MIN((F13),99))/100))+5.0))))*100))/100))*0.96)),(((((MIN(($E$13),99))/100))+5.0)/(1-(((MIN(($E$13),99))/100))+5.0))))*100))/100))*0.96)),(((((MIN((D$13),99))/100))+5.0)/(1-(((MIN((D$13),99))/100))+5.0))))*100))/100))*0.96)),(((((MIN(($C13),99))/100))+5.0)/(1-(((MIN(($C13),99))/100))+5.0))))*100))/100))*0.96)),(((((MIN(($B13),99))/100))+5.0)/(1-(((MIN(($B13),99))/100))+5.0))))*100))/100))*0.96)),(((((MIN(($J$12),99))/100))+5.0)/(1-(((MIN(($J$12),99))/100))+5.0))))*100))/100))*0.96)),(((((MIN((J$11),99))/100))+5.0)/(1-(((MIN((J$11),99))/100))+5.0))))*100))/100))*0.96)),(((((MIN((J$10),99))/100))+5.0)/(1-(((MIN((J$10),99))/100))+5.0))))*100))/100))*0.96)),(((((MIN(($J$9),99))/100))+5.0)/(1-(((MIN(($J$9),99))/100))+5.0))))*100))/100))*0.96)),(((((MIN((J8),99))/100))+5.0)/(1-(((MIN((J8),99))/100))+5.0))))*100))/100))*0.96)),(((((MIN((J7),99))/100))+5.0)/(1-(((MIN((J7),99))/100))+5.0))))*100))/100))*0.96)),(((((MIN(($J6),99))/100))+5.0)/(1-(((MIN(($J6),99))/100))+5.0))))*100))/100))*0.96)),(((((MIN(($J$5),99))/100))+5.0)/(1-(((MIN(($J$5),99))/100))+5.0))))*100))/100))*0.96)),(((((MIN(($J4),99))/100))+5.0)/(1-(((MIN(($J4),99))/100))+5.0))))*100))/100))*0.96)),(((((MIN(($J$3),99))/100))+5.0)/(1-(((MIN(($J$3),99))/100))+5.0))))*100))/100))*0.96)),(((((MIN(($J2),99))/100))+5.0)/(1-(((MIN(($J2),99))/100))+5.0))))*100))/100))*0.96)),(((((MIN(($J$1),99))/100))+5.0)/(1-(((MIN(($J$1),99))/100))+5.0))))*100),0)</f>
        <v/>
      </c>
      <c r="K1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(34)/100))*0.96)),(((((MIN(($J13),99))/100))+5.0)/(1-(((MIN(($J13),99))/100))+5.0))))*100))/100))*0.96)),(((((MIN((I$13),99))/100))+5.0)/(1-(((MIN((I$13),99))/100))+5.0))))*100))/100))*0.96)),(((((MIN(($H$13),99))/100))+5.0)/(1-(((MIN(($H$13),99))/100))+5.0))))*100))/100))*0.96)),(((((MIN(($G13),99))/100))+5.0)/(1-(((MIN(($G13),99))/100))+5.0))))*100))/100))*0.96)),(((((MIN(($F13),99))/100))+5.0)/(1-(((MIN(($F13),99))/100))+5.0))))*100))/100))*0.96)),(((((MIN((E13),99))/100))+5.0)/(1-(((MIN((E13),99))/100))+5.0))))*100))/100))*0.96)),(((((MIN(($D13),99))/100))+5.0)/(1-(((MIN(($D13),99))/100))+5.0))))*100))/100))*0.96)),(((((MIN(($C$13),99))/100))+5.0)/(1-(((MIN(($C$13),99))/100))+5.0))))*100))/100))*0.96)),(((((MIN(($K$12),99))/100))+5.0)/(1-(((MIN(($K$12),99))/100))+5.0))))*100))/100))*0.96)),(((((MIN(($K11),99))/100))+5.0)/(1-(((MIN(($K11),99))/100))+5.0))))*100))/100))*0.96)),(((((MIN((K$10),99))/100))+5.0)/(1-(((MIN((K$10),99))/100))+5.0))))*100))/100))*0.96)),(((((MIN((K$9),99))/100))+5.0)/(1-(((MIN((K$9),99))/100))+5.0))))*100))/100))*0.96)),(((((MIN(($K$8),99))/100))+5.0)/(1-(((MIN(($K$8),99))/100))+5.0))))*100))/100))*0.96)),(((((MIN((K$7),99))/100))+5.0)/(1-(((MIN((K$7),99))/100))+5.0))))*100))/100))*0.96)),(((((MIN((K$6),99))/100))+5.0)/(1-(((MIN((K$6),99))/100))+5.0))))*100))/100))*0.96)),(((((MIN((K5),99))/100))+5.0)/(1-(((MIN((K5),99))/100))+5.0))))*100))/100))*0.96)),(((((MIN((K$4),99))/100))+5.0)/(1-(((MIN((K$4),99))/100))+5.0))))*100))/100))*0.96)),(((((MIN((K$3),99))/100))+5.0)/(1-(((MIN((K$3),99))/100))+5.0))))*100))/100))*0.96)),(((((MIN((K$2),99))/100))+5.0)/(1-(((MIN((K$2),99))/100))+5.0))))*100))/100))*0.96)),(((((MIN((K$1),99))/100))+5.0)/(1-(((MIN((K$1),99))/100))+5.0))))*100),0)</f>
        <v/>
      </c>
      <c r="L1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(12)/100))*0.96)),(((((MIN(($K13),99))/100))+5.0)/(1-(((MIN(($K13),99))/100))+5.0))))*100))/100))*0.96)),(((((MIN((J13),99))/100))+5.0)/(1-(((MIN((J13),99))/100))+5.0))))*100))/100))*0.96)),(((((MIN((I13),99))/100))+5.0)/(1-(((MIN((I13),99))/100))+5.0))))*100))/100))*0.96)),(((((MIN((H13),99))/100))+5.0)/(1-(((MIN((H13),99))/100))+5.0))))*100))/100))*0.96)),(((((MIN((G$13),99))/100))+5.0)/(1-(((MIN((G$13),99))/100))+5.0))))*100))/100))*0.96)),(((((MIN(($F$13),99))/100))+5.0)/(1-(((MIN(($F$13),99))/100))+5.0))))*100))/100))*0.96)),(((((MIN(($E$13),99))/100))+5.0)/(1-(((MIN(($E$13),99))/100))+5.0))))*100))/100))*0.96)),(((((MIN(($D$13),99))/100))+5.0)/(1-(((MIN(($D$13),99))/100))+5.0))))*100))/100))*0.96)),(((((MIN(($L$12),99))/100))+5.0)/(1-(((MIN(($L$12),99))/100))+5.0))))*100))/100))*0.96)),(((((MIN((L11),99))/100))+5.0)/(1-(((MIN((L11),99))/100))+5.0))))*100))/100))*0.96)),(((((MIN((L$10),99))/100))+5.0)/(1-(((MIN((L$10),99))/100))+5.0))))*100))/100))*0.96)),(((((MIN(($L9),99))/100))+5.0)/(1-(((MIN(($L9),99))/100))+5.0))))*100))/100))*0.96)),(((((MIN(($L$8),99))/100))+5.0)/(1-(((MIN(($L$8),99))/100))+5.0))))*100))/100))*0.96)),(((((MIN(($L7),99))/100))+5.0)/(1-(((MIN(($L7),99))/100))+5.0))))*100))/100))*0.96)),(((((MIN(($L6),99))/100))+5.0)/(1-(((MIN(($L6),99))/100))+5.0))))*100))/100))*0.96)),(((((MIN((L5),99))/100))+5.0)/(1-(((MIN((L5),99))/100))+5.0))))*100))/100))*0.96)),(((((MIN((L$4),99))/100))+5.0)/(1-(((MIN((L$4),99))/100))+5.0))))*100))/100))*0.96)),(((((MIN(($L$3),99))/100))+5.0)/(1-(((MIN(($L$3),99))/100))+5.0))))*100))/100))*0.96)),(((((MIN(($L$2),99))/100))+5.0)/(1-(((MIN(($L$2),99))/100))+5.0))))*100))/100))*0.96)),(((((MIN(($L1),99))/100))+5.0)/(1-(((MIN(($L1),99))/100))+5.0))))*100),0)</f>
        <v/>
      </c>
      <c r="M1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(8)/100))*0.96)),(((((MIN(($L13),99))/100))+5.0)/(1-(((MIN(($L13),99))/100))+5.0))))*100))/100))*0.96)),(((((MIN(($K$13),99))/100))+5.0)/(1-(((MIN(($K$13),99))/100))+5.0))))*100))/100))*0.96)),(((((MIN(($J13),99))/100))+5.0)/(1-(((MIN(($J13),99))/100))+5.0))))*100))/100))*0.96)),(((((MIN(($I$13),99))/100))+5.0)/(1-(((MIN(($I$13),99))/100))+5.0))))*100))/100))*0.96)),(((((MIN((H$13),99))/100))+5.0)/(1-(((MIN((H$13),99))/100))+5.0))))*100))/100))*0.96)),(((((MIN(($G$13),99))/100))+5.0)/(1-(((MIN(($G$13),99))/100))+5.0))))*100))/100))*0.96)),(((((MIN(($F13),99))/100))+5.0)/(1-(((MIN(($F13),99))/100))+5.0))))*100))/100))*0.96)),(((((MIN(($E$13),99))/100))+5.0)/(1-(((MIN(($E$13),99))/100))+5.0))))*100))/100))*0.96)),(((((MIN((M12),99))/100))+5.0)/(1-(((MIN((M12),99))/100))+5.0))))*100))/100))*0.96)),(((((MIN((M$11),99))/100))+5.0)/(1-(((MIN((M$11),99))/100))+5.0))))*100))/100))*0.96)),(((((MIN((M10),99))/100))+5.0)/(1-(((MIN((M10),99))/100))+5.0))))*100))/100))*0.96)),(((((MIN(($M$9),99))/100))+5.0)/(1-(((MIN(($M$9),99))/100))+5.0))))*100))/100))*0.96)),(((((MIN(($M8),99))/100))+5.0)/(1-(((MIN(($M8),99))/100))+5.0))))*100))/100))*0.96)),(((((MIN((M$7),99))/100))+5.0)/(1-(((MIN((M$7),99))/100))+5.0))))*100))/100))*0.96)),(((((MIN(($M$6),99))/100))+5.0)/(1-(((MIN(($M$6),99))/100))+5.0))))*100))/100))*0.96)),(((((MIN((M5),99))/100))+5.0)/(1-(((MIN((M5),99))/100))+5.0))))*100))/100))*0.96)),(((((MIN(($M$4),99))/100))+5.0)/(1-(((MIN(($M$4),99))/100))+5.0))))*100))/100))*0.96)),(((((MIN(($M$3),99))/100))+5.0)/(1-(((MIN(($M$3),99))/100))+5.0))))*100))/100))*0.96)),(((((MIN(($M$2),99))/100))+5.0)/(1-(((MIN(($M$2),99))/100))+5.0))))*100))/100))*0.96)),(((((MIN((M$1),99))/100))+5.0)/(1-(((MIN((M$1),99))/100))+5.0))))*100),0)</f>
        <v/>
      </c>
      <c r="N1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(14)/100))*0.96)),(((((MIN((M$13),99))/100))+5.0)/(1-(((MIN((M$13),99))/100))+5.0))))*100))/100))*0.96)),(((((MIN((L13),99))/100))+5.0)/(1-(((MIN((L13),99))/100))+5.0))))*100))/100))*0.96)),(((((MIN((K$13),99))/100))+5.0)/(1-(((MIN((K$13),99))/100))+5.0))))*100))/100))*0.96)),(((((MIN(($J$13),99))/100))+5.0)/(1-(((MIN(($J$13),99))/100))+5.0))))*100))/100))*0.96)),(((((MIN((I$13),99))/100))+5.0)/(1-(((MIN((I$13),99))/100))+5.0))))*100))/100))*0.96)),(((((MIN(($H13),99))/100))+5.0)/(1-(((MIN(($H13),99))/100))+5.0))))*100))/100))*0.96)),(((((MIN((G13),99))/100))+5.0)/(1-(((MIN((G13),99))/100))+5.0))))*100))/100))*0.96)),(((((MIN(($F$13),99))/100))+5.0)/(1-(((MIN(($F$13),99))/100))+5.0))))*100))/100))*0.96)),(((((MIN(($N$12),99))/100))+5.0)/(1-(((MIN(($N$12),99))/100))+5.0))))*100))/100))*0.96)),(((((MIN(($N11),99))/100))+5.0)/(1-(((MIN(($N11),99))/100))+5.0))))*100))/100))*0.96)),(((((MIN(($N10),99))/100))+5.0)/(1-(((MIN(($N10),99))/100))+5.0))))*100))/100))*0.96)),(((((MIN((N9),99))/100))+5.0)/(1-(((MIN((N9),99))/100))+5.0))))*100))/100))*0.96)),(((((MIN((N$8),99))/100))+5.0)/(1-(((MIN((N$8),99))/100))+5.0))))*100))/100))*0.96)),(((((MIN(($N$7),99))/100))+5.0)/(1-(((MIN(($N$7),99))/100))+5.0))))*100))/100))*0.96)),(((((MIN(($N6),99))/100))+5.0)/(1-(((MIN(($N6),99))/100))+5.0))))*100))/100))*0.96)),(((((MIN((N5),99))/100))+5.0)/(1-(((MIN((N5),99))/100))+5.0))))*100))/100))*0.96)),(((((MIN((N$4),99))/100))+5.0)/(1-(((MIN((N$4),99))/100))+5.0))))*100))/100))*0.96)),(((((MIN((N3),99))/100))+5.0)/(1-(((MIN((N3),99))/100))+5.0))))*100))/100))*0.96)),(((((MIN(($N$2),99))/100))+5.0)/(1-(((MIN(($N$2),99))/100))+5.0))))*100))/100))*0.96)),(((((MIN((N$1),99))/100))+5.0)/(1-(((MIN((N$1),99))/100))+5.0))))*100),0)</f>
        <v/>
      </c>
      <c r="O1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(57)/100))*0.96)),(((((MIN(($N$13),99))/100))+5.0)/(1-(((MIN(($N$13),99))/100))+5.0))))*100))/100))*0.96)),(((((MIN(($M$13),99))/100))+5.0)/(1-(((MIN(($M$13),99))/100))+5.0))))*100))/100))*0.96)),(((((MIN((L$13),99))/100))+5.0)/(1-(((MIN((L$13),99))/100))+5.0))))*100))/100))*0.96)),(((((MIN(($K13),99))/100))+5.0)/(1-(((MIN(($K13),99))/100))+5.0))))*100))/100))*0.96)),(((((MIN((J$13),99))/100))+5.0)/(1-(((MIN((J$13),99))/100))+5.0))))*100))/100))*0.96)),(((((MIN((I$13),99))/100))+5.0)/(1-(((MIN((I$13),99))/100))+5.0))))*100))/100))*0.96)),(((((MIN((H$13),99))/100))+5.0)/(1-(((MIN((H$13),99))/100))+5.0))))*100))/100))*0.96)),(((((MIN((G$13),99))/100))+5.0)/(1-(((MIN((G$13),99))/100))+5.0))))*100))/100))*0.96)),(((((MIN(($O$12),99))/100))+5.0)/(1-(((MIN(($O$12),99))/100))+5.0))))*100))/100))*0.96)),(((((MIN(($O11),99))/100))+5.0)/(1-(((MIN(($O11),99))/100))+5.0))))*100))/100))*0.96)),(((((MIN((O10),99))/100))+5.0)/(1-(((MIN((O10),99))/100))+5.0))))*100))/100))*0.96)),(((((MIN((O$9),99))/100))+5.0)/(1-(((MIN((O$9),99))/100))+5.0))))*100))/100))*0.96)),(((((MIN(($O8),99))/100))+5.0)/(1-(((MIN(($O8),99))/100))+5.0))))*100))/100))*0.96)),(((((MIN((O$7),99))/100))+5.0)/(1-(((MIN((O$7),99))/100))+5.0))))*100))/100))*0.96)),(((((MIN((O$6),99))/100))+5.0)/(1-(((MIN((O$6),99))/100))+5.0))))*100))/100))*0.96)),(((((MIN((O5),99))/100))+5.0)/(1-(((MIN((O5),99))/100))+5.0))))*100))/100))*0.96)),(((((MIN((O4),99))/100))+5.0)/(1-(((MIN((O4),99))/100))+5.0))))*100))/100))*0.96)),(((((MIN((O3),99))/100))+5.0)/(1-(((MIN((O3),99))/100))+5.0))))*100))/100))*0.96)),(((((MIN((O$2),99))/100))+5.0)/(1-(((MIN((O$2),99))/100))+5.0))))*100))/100))*0.96)),(((((MIN((O$1),99))/100))+5.0)/(1-(((MIN((O$1),99))/100))+5.0))))*100),0)</f>
        <v/>
      </c>
      <c r="P1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(87)/100))*0.96)),(((((MIN(($O$13),99))/100))+5.0)/(1-(((MIN(($O$13),99))/100))+5.0))))*100))/100))*0.96)),(((((MIN(($N$13),99))/100))+5.0)/(1-(((MIN(($N$13),99))/100))+5.0))))*100))/100))*0.96)),(((((MIN(($M13),99))/100))+5.0)/(1-(((MIN(($M13),99))/100))+5.0))))*100))/100))*0.96)),(((((MIN((L13),99))/100))+5.0)/(1-(((MIN((L13),99))/100))+5.0))))*100))/100))*0.96)),(((((MIN(($K13),99))/100))+5.0)/(1-(((MIN(($K13),99))/100))+5.0))))*100))/100))*0.96)),(((((MIN(($J13),99))/100))+5.0)/(1-(((MIN(($J13),99))/100))+5.0))))*100))/100))*0.96)),(((((MIN((I$13),99))/100))+5.0)/(1-(((MIN((I$13),99))/100))+5.0))))*100))/100))*0.96)),(((((MIN((H$13),99))/100))+5.0)/(1-(((MIN((H$13),99))/100))+5.0))))*100))/100))*0.96)),(((((MIN(($P$12),99))/100))+5.0)/(1-(((MIN(($P$12),99))/100))+5.0))))*100))/100))*0.96)),(((((MIN((P11),99))/100))+5.0)/(1-(((MIN((P11),99))/100))+5.0))))*100))/100))*0.96)),(((((MIN((P$10),99))/100))+5.0)/(1-(((MIN((P$10),99))/100))+5.0))))*100))/100))*0.96)),(((((MIN((P9),99))/100))+5.0)/(1-(((MIN((P9),99))/100))+5.0))))*100))/100))*0.96)),(((((MIN((P8),99))/100))+5.0)/(1-(((MIN((P8),99))/100))+5.0))))*100))/100))*0.96)),(((((MIN(($P$7),99))/100))+5.0)/(1-(((MIN(($P$7),99))/100))+5.0))))*100))/100))*0.96)),(((((MIN(($P$6),99))/100))+5.0)/(1-(((MIN(($P$6),99))/100))+5.0))))*100))/100))*0.96)),(((((MIN((P5),99))/100))+5.0)/(1-(((MIN((P5),99))/100))+5.0))))*100))/100))*0.96)),(((((MIN((P$4),99))/100))+5.0)/(1-(((MIN((P$4),99))/100))+5.0))))*100))/100))*0.96)),(((((MIN(($P$3),99))/100))+5.0)/(1-(((MIN(($P$3),99))/100))+5.0))))*100))/100))*0.96)),(((((MIN((P2),99))/100))+5.0)/(1-(((MIN((P2),99))/100))+5.0))))*100))/100))*0.96)),(((((MIN(($P1),99))/100))+5.0)/(1-(((MIN(($P1),99))/100))+5.0))))*100),0)</f>
        <v/>
      </c>
      <c r="Q1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(28)/100))*0.96)),(((((MIN(($P$13),99))/100))+5.0)/(1-(((MIN(($P$13),99))/100))+5.0))))*100))/100))*0.96)),(((((MIN((O$13),99))/100))+5.0)/(1-(((MIN((O$13),99))/100))+5.0))))*100))/100))*0.96)),(((((MIN((N$13),99))/100))+5.0)/(1-(((MIN((N$13),99))/100))+5.0))))*100))/100))*0.96)),(((((MIN((M13),99))/100))+5.0)/(1-(((MIN((M13),99))/100))+5.0))))*100))/100))*0.96)),(((((MIN(($L$13),99))/100))+5.0)/(1-(((MIN(($L$13),99))/100))+5.0))))*100))/100))*0.96)),(((((MIN(($K13),99))/100))+5.0)/(1-(((MIN(($K13),99))/100))+5.0))))*100))/100))*0.96)),(((((MIN(($J$13),99))/100))+5.0)/(1-(((MIN(($J$13),99))/100))+5.0))))*100))/100))*0.96)),(((((MIN(($I13),99))/100))+5.0)/(1-(((MIN(($I13),99))/100))+5.0))))*100))/100))*0.96)),(((((MIN(($Q12),99))/100))+5.0)/(1-(((MIN(($Q12),99))/100))+5.0))))*100))/100))*0.96)),(((((MIN((Q$11),99))/100))+5.0)/(1-(((MIN((Q$11),99))/100))+5.0))))*100))/100))*0.96)),(((((MIN(($Q10),99))/100))+5.0)/(1-(((MIN(($Q10),99))/100))+5.0))))*100))/100))*0.96)),(((((MIN((Q$9),99))/100))+5.0)/(1-(((MIN((Q$9),99))/100))+5.0))))*100))/100))*0.96)),(((((MIN(($Q$8),99))/100))+5.0)/(1-(((MIN(($Q$8),99))/100))+5.0))))*100))/100))*0.96)),(((((MIN((Q$7),99))/100))+5.0)/(1-(((MIN((Q$7),99))/100))+5.0))))*100))/100))*0.96)),(((((MIN((Q6),99))/100))+5.0)/(1-(((MIN((Q6),99))/100))+5.0))))*100))/100))*0.96)),(((((MIN(($Q5),99))/100))+5.0)/(1-(((MIN(($Q5),99))/100))+5.0))))*100))/100))*0.96)),(((((MIN(($Q$4),99))/100))+5.0)/(1-(((MIN(($Q$4),99))/100))+5.0))))*100))/100))*0.96)),(((((MIN(($Q3),99))/100))+5.0)/(1-(((MIN(($Q3),99))/100))+5.0))))*100))/100))*0.96)),(((((MIN(($Q2),99))/100))+5.0)/(1-(((MIN(($Q2),99))/100))+5.0))))*100))/100))*0.96)),(((((MIN(($Q1),99))/100))+5.0)/(1-(((MIN(($Q1),99))/100))+5.0))))*100),0)</f>
        <v/>
      </c>
      <c r="R1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(18)/100))*0.96)),(((((MIN(($Q$13),99))/100))+5.0)/(1-(((MIN(($Q$13),99))/100))+5.0))))*100))/100))*0.96)),(((((MIN(($P13),99))/100))+5.0)/(1-(((MIN(($P13),99))/100))+5.0))))*100))/100))*0.96)),(((((MIN(($O$13),99))/100))+5.0)/(1-(((MIN(($O$13),99))/100))+5.0))))*100))/100))*0.96)),(((((MIN(($N$13),99))/100))+5.0)/(1-(((MIN(($N$13),99))/100))+5.0))))*100))/100))*0.96)),(((((MIN(($M$13),99))/100))+5.0)/(1-(((MIN(($M$13),99))/100))+5.0))))*100))/100))*0.96)),(((((MIN(($L$13),99))/100))+5.0)/(1-(((MIN(($L$13),99))/100))+5.0))))*100))/100))*0.96)),(((((MIN(($K$13),99))/100))+5.0)/(1-(((MIN(($K$13),99))/100))+5.0))))*100))/100))*0.96)),(((((MIN(($J$13),99))/100))+5.0)/(1-(((MIN(($J$13),99))/100))+5.0))))*100))/100))*0.96)),(((((MIN(($R$12),99))/100))+5.0)/(1-(((MIN(($R$12),99))/100))+5.0))))*100))/100))*0.96)),(((((MIN(($R11),99))/100))+5.0)/(1-(((MIN(($R11),99))/100))+5.0))))*100))/100))*0.96)),(((((MIN(($R$10),99))/100))+5.0)/(1-(((MIN(($R$10),99))/100))+5.0))))*100))/100))*0.96)),(((((MIN(($R9),99))/100))+5.0)/(1-(((MIN(($R9),99))/100))+5.0))))*100))/100))*0.96)),(((((MIN(($R8),99))/100))+5.0)/(1-(((MIN(($R8),99))/100))+5.0))))*100))/100))*0.96)),(((((MIN(($R7),99))/100))+5.0)/(1-(((MIN(($R7),99))/100))+5.0))))*100))/100))*0.96)),(((((MIN(($R6),99))/100))+5.0)/(1-(((MIN(($R6),99))/100))+5.0))))*100))/100))*0.96)),(((((MIN((R5),99))/100))+5.0)/(1-(((MIN((R5),99))/100))+5.0))))*100))/100))*0.96)),(((((MIN((R4),99))/100))+5.0)/(1-(((MIN((R4),99))/100))+5.0))))*100))/100))*0.96)),(((((MIN(($R3),99))/100))+5.0)/(1-(((MIN(($R3),99))/100))+5.0))))*100))/100))*0.96)),(((((MIN((R2),99))/100))+5.0)/(1-(((MIN((R2),99))/100))+5.0))))*100))/100))*0.96)),(((((MIN((R$1),99))/100))+5.0)/(1-(((MIN((R$1),99))/100))+5.0))))*100),0)</f>
        <v/>
      </c>
      <c r="S1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(32)/100))*0.96)),(((((MIN(($R13),99))/100))+5.0)/(1-(((MIN(($R13),99))/100))+5.0))))*100))/100))*0.96)),(((((MIN((Q$13),99))/100))+5.0)/(1-(((MIN((Q$13),99))/100))+5.0))))*100))/100))*0.96)),(((((MIN(($P13),99))/100))+5.0)/(1-(((MIN(($P13),99))/100))+5.0))))*100))/100))*0.96)),(((((MIN(($O13),99))/100))+5.0)/(1-(((MIN(($O13),99))/100))+5.0))))*100))/100))*0.96)),(((((MIN((N$13),99))/100))+5.0)/(1-(((MIN((N$13),99))/100))+5.0))))*100))/100))*0.96)),(((((MIN((M13),99))/100))+5.0)/(1-(((MIN((M13),99))/100))+5.0))))*100))/100))*0.96)),(((((MIN((L$13),99))/100))+5.0)/(1-(((MIN((L$13),99))/100))+5.0))))*100))/100))*0.96)),(((((MIN((K$13),99))/100))+5.0)/(1-(((MIN((K$13),99))/100))+5.0))))*100))/100))*0.96)),(((((MIN((S12),99))/100))+5.0)/(1-(((MIN((S12),99))/100))+5.0))))*100))/100))*0.96)),(((((MIN(($S11),99))/100))+5.0)/(1-(((MIN(($S11),99))/100))+5.0))))*100))/100))*0.96)),(((((MIN((S10),99))/100))+5.0)/(1-(((MIN((S10),99))/100))+5.0))))*100))/100))*0.96)),(((((MIN((S9),99))/100))+5.0)/(1-(((MIN((S9),99))/100))+5.0))))*100))/100))*0.96)),(((((MIN((S$8),99))/100))+5.0)/(1-(((MIN((S$8),99))/100))+5.0))))*100))/100))*0.96)),(((((MIN(($S$7),99))/100))+5.0)/(1-(((MIN(($S$7),99))/100))+5.0))))*100))/100))*0.96)),(((((MIN((S$6),99))/100))+5.0)/(1-(((MIN((S$6),99))/100))+5.0))))*100))/100))*0.96)),(((((MIN(($S$5),99))/100))+5.0)/(1-(((MIN(($S$5),99))/100))+5.0))))*100))/100))*0.96)),(((((MIN((S$4),99))/100))+5.0)/(1-(((MIN((S$4),99))/100))+5.0))))*100))/100))*0.96)),(((((MIN((S3),99))/100))+5.0)/(1-(((MIN((S3),99))/100))+5.0))))*100))/100))*0.96)),(((((MIN(($S2),99))/100))+5.0)/(1-(((MIN(($S2),99))/100))+5.0))))*100))/100))*0.96)),(((((MIN(($S$1),99))/100))+5.0)/(1-(((MIN(($S$1),99))/100))+5.0))))*100),0)</f>
        <v/>
      </c>
      <c r="T1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(86)/100))*0.96)),(((((MIN((S$13),99))/100))+5.0)/(1-(((MIN((S$13),99))/100))+5.0))))*100))/100))*0.96)),(((((MIN(($R$13),99))/100))+5.0)/(1-(((MIN(($R$13),99))/100))+5.0))))*100))/100))*0.96)),(((((MIN(($Q$13),99))/100))+5.0)/(1-(((MIN(($Q$13),99))/100))+5.0))))*100))/100))*0.96)),(((((MIN(($P$13),99))/100))+5.0)/(1-(((MIN(($P$13),99))/100))+5.0))))*100))/100))*0.96)),(((((MIN(($O13),99))/100))+5.0)/(1-(((MIN(($O13),99))/100))+5.0))))*100))/100))*0.96)),(((((MIN(($N13),99))/100))+5.0)/(1-(((MIN(($N13),99))/100))+5.0))))*100))/100))*0.96)),(((((MIN(($M13),99))/100))+5.0)/(1-(((MIN(($M13),99))/100))+5.0))))*100))/100))*0.96)),(((((MIN(($L$13),99))/100))+5.0)/(1-(((MIN(($L$13),99))/100))+5.0))))*100))/100))*0.96)),(((((MIN(($T$12),99))/100))+5.0)/(1-(((MIN(($T$12),99))/100))+5.0))))*100))/100))*0.96)),(((((MIN((T$11),99))/100))+5.0)/(1-(((MIN((T$11),99))/100))+5.0))))*100))/100))*0.96)),(((((MIN(($T$10),99))/100))+5.0)/(1-(((MIN(($T$10),99))/100))+5.0))))*100))/100))*0.96)),(((((MIN((T9),99))/100))+5.0)/(1-(((MIN((T9),99))/100))+5.0))))*100))/100))*0.96)),(((((MIN(($T$8),99))/100))+5.0)/(1-(((MIN(($T$8),99))/100))+5.0))))*100))/100))*0.96)),(((((MIN((T$7),99))/100))+5.0)/(1-(((MIN((T$7),99))/100))+5.0))))*100))/100))*0.96)),(((((MIN((T6),99))/100))+5.0)/(1-(((MIN((T6),99))/100))+5.0))))*100))/100))*0.96)),(((((MIN((T$5),99))/100))+5.0)/(1-(((MIN((T$5),99))/100))+5.0))))*100))/100))*0.96)),(((((MIN((T$4),99))/100))+5.0)/(1-(((MIN((T$4),99))/100))+5.0))))*100))/100))*0.96)),(((((MIN(($T3),99))/100))+5.0)/(1-(((MIN(($T3),99))/100))+5.0))))*100))/100))*0.96)),(((((MIN((T2),99))/100))+5.0)/(1-(((MIN((T2),99))/100))+5.0))))*100))/100))*0.96)),(((((MIN((T1),99))/100))+5.0)/(1-(((MIN((T1),99))/100))+5.0))))*100),0)</f>
        <v/>
      </c>
    </row>
    <row r="14">
      <c r="A1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(93)/100))*0.96)),(((((MIN((A$13),99))/100))+5.0)/(1-(((MIN((A$13),99))/100))+5.0))))*100))/100))*0.96)),(((((MIN(($A12),99))/100))+5.0)/(1-(((MIN(($A12),99))/100))+5.0))))*100))/100))*0.96)),(((((MIN((A11),99))/100))+5.0)/(1-(((MIN((A11),99))/100))+5.0))))*100))/100))*0.96)),(((((MIN((A$10),99))/100))+5.0)/(1-(((MIN((A$10),99))/100))+5.0))))*100))/100))*0.96)),(((((MIN((A$9),99))/100))+5.0)/(1-(((MIN((A$9),99))/100))+5.0))))*100))/100))*0.96)),(((((MIN(($A8),99))/100))+5.0)/(1-(((MIN(($A8),99))/100))+5.0))))*100))/100))*0.96)),(((((MIN((A$7),99))/100))+5.0)/(1-(((MIN((A$7),99))/100))+5.0))))*100))/100))*0.96)),(((((MIN(($A6),99))/100))+5.0)/(1-(((MIN(($A6),99))/100))+5.0))))*100))/100))*0.96)),(((((MIN(($A5),99))/100))+5.0)/(1-(((MIN(($A5),99))/100))+5.0))))*100))/100))*0.96)),(((((MIN(($A4),99))/100))+5.0)/(1-(((MIN(($A4),99))/100))+5.0))))*100))/100))*0.96)),(((((MIN((A$3),99))/100))+5.0)/(1-(((MIN((A$3),99))/100))+5.0))))*100))/100))*0.96)),(((((MIN(($A$2),99))/100))+5.0)/(1-(((MIN(($A$2),99))/100))+5.0))))*100))/100))*0.96)),(((((MIN((A1),99))/100))+5.0)/(1-(((MIN((A1),99))/100))+5.0))))*100),0)</f>
        <v/>
      </c>
      <c r="B1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(93)/100))*0.96)),(((((MIN(($A$14),99))/100))+5.0)/(1-(((MIN(($A$14),99))/100))+5.0))))*100))/100))*0.96)),(((((MIN((B13),99))/100))+5.0)/(1-(((MIN((B13),99))/100))+5.0))))*100))/100))*0.96)),(((((MIN(($B12),99))/100))+5.0)/(1-(((MIN(($B12),99))/100))+5.0))))*100))/100))*0.96)),(((((MIN(($B11),99))/100))+5.0)/(1-(((MIN(($B11),99))/100))+5.0))))*100))/100))*0.96)),(((((MIN((B10),99))/100))+5.0)/(1-(((MIN((B10),99))/100))+5.0))))*100))/100))*0.96)),(((((MIN((B$9),99))/100))+5.0)/(1-(((MIN((B$9),99))/100))+5.0))))*100))/100))*0.96)),(((((MIN(($B8),99))/100))+5.0)/(1-(((MIN(($B8),99))/100))+5.0))))*100))/100))*0.96)),(((((MIN(($B7),99))/100))+5.0)/(1-(((MIN(($B7),99))/100))+5.0))))*100))/100))*0.96)),(((((MIN((B6),99))/100))+5.0)/(1-(((MIN((B6),99))/100))+5.0))))*100))/100))*0.96)),(((((MIN((B$5),99))/100))+5.0)/(1-(((MIN((B$5),99))/100))+5.0))))*100))/100))*0.96)),(((((MIN(($B$4),99))/100))+5.0)/(1-(((MIN(($B$4),99))/100))+5.0))))*100))/100))*0.96)),(((((MIN((B$3),99))/100))+5.0)/(1-(((MIN((B$3),99))/100))+5.0))))*100))/100))*0.96)),(((((MIN((B2),99))/100))+5.0)/(1-(((MIN((B2),99))/100))+5.0))))*100))/100))*0.96)),(((((MIN((B$1),99))/100))+5.0)/(1-(((MIN((B$1),99))/100))+5.0))))*100),0)</f>
        <v/>
      </c>
      <c r="C1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(84)/100))*0.96)),(((((MIN(($B14),99))/100))+5.0)/(1-(((MIN(($B14),99))/100))+5.0))))*100))/100))*0.96)),(((((MIN(($A14),99))/100))+5.0)/(1-(((MIN(($A14),99))/100))+5.0))))*100))/100))*0.96)),(((((MIN(($C$13),99))/100))+5.0)/(1-(((MIN(($C$13),99))/100))+5.0))))*100))/100))*0.96)),(((((MIN(($C$12),99))/100))+5.0)/(1-(((MIN(($C$12),99))/100))+5.0))))*100))/100))*0.96)),(((((MIN(($C$11),99))/100))+5.0)/(1-(((MIN(($C$11),99))/100))+5.0))))*100))/100))*0.96)),(((((MIN((C10),99))/100))+5.0)/(1-(((MIN((C10),99))/100))+5.0))))*100))/100))*0.96)),(((((MIN(($C9),99))/100))+5.0)/(1-(((MIN(($C9),99))/100))+5.0))))*100))/100))*0.96)),(((((MIN(($C$8),99))/100))+5.0)/(1-(((MIN(($C$8),99))/100))+5.0))))*100))/100))*0.96)),(((((MIN(($C$7),99))/100))+5.0)/(1-(((MIN(($C$7),99))/100))+5.0))))*100))/100))*0.96)),(((((MIN((C6),99))/100))+5.0)/(1-(((MIN((C6),99))/100))+5.0))))*100))/100))*0.96)),(((((MIN(($C$5),99))/100))+5.0)/(1-(((MIN(($C$5),99))/100))+5.0))))*100))/100))*0.96)),(((((MIN(($C$4),99))/100))+5.0)/(1-(((MIN(($C$4),99))/100))+5.0))))*100))/100))*0.96)),(((((MIN((C$3),99))/100))+5.0)/(1-(((MIN((C$3),99))/100))+5.0))))*100))/100))*0.96)),(((((MIN((C2),99))/100))+5.0)/(1-(((MIN((C2),99))/100))+5.0))))*100))/100))*0.96)),(((((MIN((C1),99))/100))+5.0)/(1-(((MIN((C1),99))/100))+5.0))))*100),0)</f>
        <v/>
      </c>
      <c r="D1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(70)/100))*0.96)),(((((MIN(($C$14),99))/100))+5.0)/(1-(((MIN(($C$14),99))/100))+5.0))))*100))/100))*0.96)),(((((MIN(($B14),99))/100))+5.0)/(1-(((MIN(($B14),99))/100))+5.0))))*100))/100))*0.96)),(((((MIN((A14),99))/100))+5.0)/(1-(((MIN((A14),99))/100))+5.0))))*100))/100))*0.96)),(((((MIN(($D$13),99))/100))+5.0)/(1-(((MIN(($D$13),99))/100))+5.0))))*100))/100))*0.96)),(((((MIN((D$12),99))/100))+5.0)/(1-(((MIN((D$12),99))/100))+5.0))))*100))/100))*0.96)),(((((MIN((D11),99))/100))+5.0)/(1-(((MIN((D11),99))/100))+5.0))))*100))/100))*0.96)),(((((MIN((D$10),99))/100))+5.0)/(1-(((MIN((D$10),99))/100))+5.0))))*100))/100))*0.96)),(((((MIN(($D9),99))/100))+5.0)/(1-(((MIN(($D9),99))/100))+5.0))))*100))/100))*0.96)),(((((MIN((D$8),99))/100))+5.0)/(1-(((MIN((D$8),99))/100))+5.0))))*100))/100))*0.96)),(((((MIN((D$7),99))/100))+5.0)/(1-(((MIN((D$7),99))/100))+5.0))))*100))/100))*0.96)),(((((MIN(($D$6),99))/100))+5.0)/(1-(((MIN(($D$6),99))/100))+5.0))))*100))/100))*0.96)),(((((MIN((D$5),99))/100))+5.0)/(1-(((MIN((D$5),99))/100))+5.0))))*100))/100))*0.96)),(((((MIN(($D4),99))/100))+5.0)/(1-(((MIN(($D4),99))/100))+5.0))))*100))/100))*0.96)),(((((MIN((D$3),99))/100))+5.0)/(1-(((MIN((D$3),99))/100))+5.0))))*100))/100))*0.96)),(((((MIN(($D2),99))/100))+5.0)/(1-(((MIN(($D2),99))/100))+5.0))))*100))/100))*0.96)),(((((MIN(($D1),99))/100))+5.0)/(1-(((MIN(($D1),99))/100))+5.0))))*100),0)</f>
        <v/>
      </c>
      <c r="E1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(90)/100))*0.96)),(((((MIN((D14),99))/100))+5.0)/(1-(((MIN((D14),99))/100))+5.0))))*100))/100))*0.96)),(((((MIN((C14),99))/100))+5.0)/(1-(((MIN((C14),99))/100))+5.0))))*100))/100))*0.96)),(((((MIN((B$14),99))/100))+5.0)/(1-(((MIN((B$14),99))/100))+5.0))))*100))/100))*0.96)),(((((MIN((A$14),99))/100))+5.0)/(1-(((MIN((A$14),99))/100))+5.0))))*100))/100))*0.96)),(((((MIN(($E13),99))/100))+5.0)/(1-(((MIN(($E13),99))/100))+5.0))))*100))/100))*0.96)),(((((MIN((E12),99))/100))+5.0)/(1-(((MIN((E12),99))/100))+5.0))))*100))/100))*0.96)),(((((MIN(($E$11),99))/100))+5.0)/(1-(((MIN(($E$11),99))/100))+5.0))))*100))/100))*0.96)),(((((MIN((E10),99))/100))+5.0)/(1-(((MIN((E10),99))/100))+5.0))))*100))/100))*0.96)),(((((MIN((E9),99))/100))+5.0)/(1-(((MIN((E9),99))/100))+5.0))))*100))/100))*0.96)),(((((MIN(($E8),99))/100))+5.0)/(1-(((MIN(($E8),99))/100))+5.0))))*100))/100))*0.96)),(((((MIN((E$7),99))/100))+5.0)/(1-(((MIN((E$7),99))/100))+5.0))))*100))/100))*0.96)),(((((MIN((E$6),99))/100))+5.0)/(1-(((MIN((E$6),99))/100))+5.0))))*100))/100))*0.96)),(((((MIN((E5),99))/100))+5.0)/(1-(((MIN((E5),99))/100))+5.0))))*100))/100))*0.96)),(((((MIN((E$4),99))/100))+5.0)/(1-(((MIN((E$4),99))/100))+5.0))))*100))/100))*0.96)),(((((MIN(($E$3),99))/100))+5.0)/(1-(((MIN(($E$3),99))/100))+5.0))))*100))/100))*0.96)),(((((MIN((E2),99))/100))+5.0)/(1-(((MIN((E2),99))/100))+5.0))))*100))/100))*0.96)),(((((MIN((E$1),99))/100))+5.0)/(1-(((MIN((E$1),99))/100))+5.0))))*100),0)</f>
        <v/>
      </c>
      <c r="F1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(13)/100))*0.96)),(((((MIN(($E$14),99))/100))+5.0)/(1-(((MIN(($E$14),99))/100))+5.0))))*100))/100))*0.96)),(((((MIN(($D14),99))/100))+5.0)/(1-(((MIN(($D14),99))/100))+5.0))))*100))/100))*0.96)),(((((MIN((C$14),99))/100))+5.0)/(1-(((MIN((C$14),99))/100))+5.0))))*100))/100))*0.96)),(((((MIN((B14),99))/100))+5.0)/(1-(((MIN((B14),99))/100))+5.0))))*100))/100))*0.96)),(((((MIN((A14),99))/100))+5.0)/(1-(((MIN((A14),99))/100))+5.0))))*100))/100))*0.96)),(((((MIN((F$13),99))/100))+5.0)/(1-(((MIN((F$13),99))/100))+5.0))))*100))/100))*0.96)),(((((MIN((F$12),99))/100))+5.0)/(1-(((MIN((F$12),99))/100))+5.0))))*100))/100))*0.96)),(((((MIN((F11),99))/100))+5.0)/(1-(((MIN((F11),99))/100))+5.0))))*100))/100))*0.96)),(((((MIN(($F$10),99))/100))+5.0)/(1-(((MIN(($F$10),99))/100))+5.0))))*100))/100))*0.96)),(((((MIN((F$9),99))/100))+5.0)/(1-(((MIN((F$9),99))/100))+5.0))))*100))/100))*0.96)),(((((MIN(($F$8),99))/100))+5.0)/(1-(((MIN(($F$8),99))/100))+5.0))))*100))/100))*0.96)),(((((MIN(($F7),99))/100))+5.0)/(1-(((MIN(($F7),99))/100))+5.0))))*100))/100))*0.96)),(((((MIN(($F$6),99))/100))+5.0)/(1-(((MIN(($F$6),99))/100))+5.0))))*100))/100))*0.96)),(((((MIN(($F5),99))/100))+5.0)/(1-(((MIN(($F5),99))/100))+5.0))))*100))/100))*0.96)),(((((MIN(($F4),99))/100))+5.0)/(1-(((MIN(($F4),99))/100))+5.0))))*100))/100))*0.96)),(((((MIN((F3),99))/100))+5.0)/(1-(((MIN((F3),99))/100))+5.0))))*100))/100))*0.96)),(((((MIN(($F$2),99))/100))+5.0)/(1-(((MIN(($F$2),99))/100))+5.0))))*100))/100))*0.96)),(((((MIN((F$1),99))/100))+5.0)/(1-(((MIN((F$1),99))/100))+5.0))))*100),0)</f>
        <v/>
      </c>
      <c r="G1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(30)/100))*0.96)),(((((MIN((F$14),99))/100))+5.0)/(1-(((MIN((F$14),99))/100))+5.0))))*100))/100))*0.96)),(((((MIN(($E$14),99))/100))+5.0)/(1-(((MIN(($E$14),99))/100))+5.0))))*100))/100))*0.96)),(((((MIN((D$14),99))/100))+5.0)/(1-(((MIN((D$14),99))/100))+5.0))))*100))/100))*0.96)),(((((MIN((C14),99))/100))+5.0)/(1-(((MIN((C14),99))/100))+5.0))))*100))/100))*0.96)),(((((MIN((B14),99))/100))+5.0)/(1-(((MIN((B14),99))/100))+5.0))))*100))/100))*0.96)),(((((MIN(($A$14),99))/100))+5.0)/(1-(((MIN(($A$14),99))/100))+5.0))))*100))/100))*0.96)),(((((MIN(($G13),99))/100))+5.0)/(1-(((MIN(($G13),99))/100))+5.0))))*100))/100))*0.96)),(((((MIN((G12),99))/100))+5.0)/(1-(((MIN((G12),99))/100))+5.0))))*100))/100))*0.96)),(((((MIN((G$11),99))/100))+5.0)/(1-(((MIN((G$11),99))/100))+5.0))))*100))/100))*0.96)),(((((MIN((G$10),99))/100))+5.0)/(1-(((MIN((G$10),99))/100))+5.0))))*100))/100))*0.96)),(((((MIN(($G$9),99))/100))+5.0)/(1-(((MIN(($G$9),99))/100))+5.0))))*100))/100))*0.96)),(((((MIN(($G8),99))/100))+5.0)/(1-(((MIN(($G8),99))/100))+5.0))))*100))/100))*0.96)),(((((MIN(($G7),99))/100))+5.0)/(1-(((MIN(($G7),99))/100))+5.0))))*100))/100))*0.96)),(((((MIN((G6),99))/100))+5.0)/(1-(((MIN((G6),99))/100))+5.0))))*100))/100))*0.96)),(((((MIN((G$5),99))/100))+5.0)/(1-(((MIN((G$5),99))/100))+5.0))))*100))/100))*0.96)),(((((MIN(($G4),99))/100))+5.0)/(1-(((MIN(($G4),99))/100))+5.0))))*100))/100))*0.96)),(((((MIN((G$3),99))/100))+5.0)/(1-(((MIN((G$3),99))/100))+5.0))))*100))/100))*0.96)),(((((MIN(($G2),99))/100))+5.0)/(1-(((MIN(($G2),99))/100))+5.0))))*100))/100))*0.96)),(((((MIN((G1),99))/100))+5.0)/(1-(((MIN((G1),99))/100))+5.0))))*100),0)</f>
        <v/>
      </c>
      <c r="H1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(85)/100))*0.96)),(((((MIN((G$14),99))/100))+5.0)/(1-(((MIN((G$14),99))/100))+5.0))))*100))/100))*0.96)),(((((MIN((F$14),99))/100))+5.0)/(1-(((MIN((F$14),99))/100))+5.0))))*100))/100))*0.96)),(((((MIN((E$14),99))/100))+5.0)/(1-(((MIN((E$14),99))/100))+5.0))))*100))/100))*0.96)),(((((MIN((D$14),99))/100))+5.0)/(1-(((MIN((D$14),99))/100))+5.0))))*100))/100))*0.96)),(((((MIN((C14),99))/100))+5.0)/(1-(((MIN((C14),99))/100))+5.0))))*100))/100))*0.96)),(((((MIN((B14),99))/100))+5.0)/(1-(((MIN((B14),99))/100))+5.0))))*100))/100))*0.96)),(((((MIN((A$14),99))/100))+5.0)/(1-(((MIN((A$14),99))/100))+5.0))))*100))/100))*0.96)),(((((MIN((H$13),99))/100))+5.0)/(1-(((MIN((H$13),99))/100))+5.0))))*100))/100))*0.96)),(((((MIN((H$12),99))/100))+5.0)/(1-(((MIN((H$12),99))/100))+5.0))))*100))/100))*0.96)),(((((MIN((H11),99))/100))+5.0)/(1-(((MIN((H11),99))/100))+5.0))))*100))/100))*0.96)),(((((MIN((H10),99))/100))+5.0)/(1-(((MIN((H10),99))/100))+5.0))))*100))/100))*0.96)),(((((MIN((H$9),99))/100))+5.0)/(1-(((MIN((H$9),99))/100))+5.0))))*100))/100))*0.96)),(((((MIN((H8),99))/100))+5.0)/(1-(((MIN((H8),99))/100))+5.0))))*100))/100))*0.96)),(((((MIN(($H$7),99))/100))+5.0)/(1-(((MIN(($H$7),99))/100))+5.0))))*100))/100))*0.96)),(((((MIN((H$6),99))/100))+5.0)/(1-(((MIN((H$6),99))/100))+5.0))))*100))/100))*0.96)),(((((MIN(($H5),99))/100))+5.0)/(1-(((MIN(($H5),99))/100))+5.0))))*100))/100))*0.96)),(((((MIN(($H4),99))/100))+5.0)/(1-(((MIN(($H4),99))/100))+5.0))))*100))/100))*0.96)),(((((MIN(($H$3),99))/100))+5.0)/(1-(((MIN(($H$3),99))/100))+5.0))))*100))/100))*0.96)),(((((MIN(($H$2),99))/100))+5.0)/(1-(((MIN(($H$2),99))/100))+5.0))))*100))/100))*0.96)),(((((MIN(($H1),99))/100))+5.0)/(1-(((MIN(($H1),99))/100))+5.0))))*100),0)</f>
        <v/>
      </c>
      <c r="I1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(75)/100))*0.96)),(((((MIN((H$14),99))/100))+5.0)/(1-(((MIN((H$14),99))/100))+5.0))))*100))/100))*0.96)),(((((MIN(($G$14),99))/100))+5.0)/(1-(((MIN(($G$14),99))/100))+5.0))))*100))/100))*0.96)),(((((MIN((F$14),99))/100))+5.0)/(1-(((MIN((F$14),99))/100))+5.0))))*100))/100))*0.96)),(((((MIN((E$14),99))/100))+5.0)/(1-(((MIN((E$14),99))/100))+5.0))))*100))/100))*0.96)),(((((MIN((D14),99))/100))+5.0)/(1-(((MIN((D14),99))/100))+5.0))))*100))/100))*0.96)),(((((MIN((C14),99))/100))+5.0)/(1-(((MIN((C14),99))/100))+5.0))))*100))/100))*0.96)),(((((MIN(($B14),99))/100))+5.0)/(1-(((MIN(($B14),99))/100))+5.0))))*100))/100))*0.96)),(((((MIN((A14),99))/100))+5.0)/(1-(((MIN((A14),99))/100))+5.0))))*100))/100))*0.96)),(((((MIN(($I$13),99))/100))+5.0)/(1-(((MIN(($I$13),99))/100))+5.0))))*100))/100))*0.96)),(((((MIN(($I$12),99))/100))+5.0)/(1-(((MIN(($I$12),99))/100))+5.0))))*100))/100))*0.96)),(((((MIN(($I$11),99))/100))+5.0)/(1-(((MIN(($I$11),99))/100))+5.0))))*100))/100))*0.96)),(((((MIN(($I10),99))/100))+5.0)/(1-(((MIN(($I10),99))/100))+5.0))))*100))/100))*0.96)),(((((MIN(($I$9),99))/100))+5.0)/(1-(((MIN(($I$9),99))/100))+5.0))))*100))/100))*0.96)),(((((MIN(($I$8),99))/100))+5.0)/(1-(((MIN(($I$8),99))/100))+5.0))))*100))/100))*0.96)),(((((MIN((I$7),99))/100))+5.0)/(1-(((MIN((I$7),99))/100))+5.0))))*100))/100))*0.96)),(((((MIN(($I$6),99))/100))+5.0)/(1-(((MIN(($I$6),99))/100))+5.0))))*100))/100))*0.96)),(((((MIN((I5),99))/100))+5.0)/(1-(((MIN((I5),99))/100))+5.0))))*100))/100))*0.96)),(((((MIN((I4),99))/100))+5.0)/(1-(((MIN((I4),99))/100))+5.0))))*100))/100))*0.96)),(((((MIN(($I$3),99))/100))+5.0)/(1-(((MIN(($I$3),99))/100))+5.0))))*100))/100))*0.96)),(((((MIN((I2),99))/100))+5.0)/(1-(((MIN((I2),99))/100))+5.0))))*100))/100))*0.96)),(((((MIN((I$1),99))/100))+5.0)/(1-(((MIN((I$1),99))/100))+5.0))))*100),0)</f>
        <v/>
      </c>
      <c r="J1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(62)/100))*0.96)),(((((MIN(($I14),99))/100))+5.0)/(1-(((MIN(($I14),99))/100))+5.0))))*100))/100))*0.96)),(((((MIN(($H14),99))/100))+5.0)/(1-(((MIN(($H14),99))/100))+5.0))))*100))/100))*0.96)),(((((MIN((G14),99))/100))+5.0)/(1-(((MIN((G14),99))/100))+5.0))))*100))/100))*0.96)),(((((MIN((F14),99))/100))+5.0)/(1-(((MIN((F14),99))/100))+5.0))))*100))/100))*0.96)),(((((MIN(($E$14),99))/100))+5.0)/(1-(((MIN(($E$14),99))/100))+5.0))))*100))/100))*0.96)),(((((MIN((D14),99))/100))+5.0)/(1-(((MIN((D14),99))/100))+5.0))))*100))/100))*0.96)),(((((MIN((C14),99))/100))+5.0)/(1-(((MIN((C14),99))/100))+5.0))))*100))/100))*0.96)),(((((MIN((B$14),99))/100))+5.0)/(1-(((MIN((B$14),99))/100))+5.0))))*100))/100))*0.96)),(((((MIN((J13),99))/100))+5.0)/(1-(((MIN((J13),99))/100))+5.0))))*100))/100))*0.96)),(((((MIN((J12),99))/100))+5.0)/(1-(((MIN((J12),99))/100))+5.0))))*100))/100))*0.96)),(((((MIN(($J$11),99))/100))+5.0)/(1-(((MIN(($J$11),99))/100))+5.0))))*100))/100))*0.96)),(((((MIN((J$10),99))/100))+5.0)/(1-(((MIN((J$10),99))/100))+5.0))))*100))/100))*0.96)),(((((MIN(($J9),99))/100))+5.0)/(1-(((MIN(($J9),99))/100))+5.0))))*100))/100))*0.96)),(((((MIN(($J$8),99))/100))+5.0)/(1-(((MIN(($J$8),99))/100))+5.0))))*100))/100))*0.96)),(((((MIN((J$7),99))/100))+5.0)/(1-(((MIN((J$7),99))/100))+5.0))))*100))/100))*0.96)),(((((MIN(($J$6),99))/100))+5.0)/(1-(((MIN(($J$6),99))/100))+5.0))))*100))/100))*0.96)),(((((MIN(($J5),99))/100))+5.0)/(1-(((MIN(($J5),99))/100))+5.0))))*100))/100))*0.96)),(((((MIN(($J4),99))/100))+5.0)/(1-(((MIN(($J4),99))/100))+5.0))))*100))/100))*0.96)),(((((MIN((J3),99))/100))+5.0)/(1-(((MIN((J3),99))/100))+5.0))))*100))/100))*0.96)),(((((MIN((J$2),99))/100))+5.0)/(1-(((MIN((J$2),99))/100))+5.0))))*100))/100))*0.96)),(((((MIN((J$1),99))/100))+5.0)/(1-(((MIN((J$1),99))/100))+5.0))))*100),0)</f>
        <v/>
      </c>
      <c r="K1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(67)/100))*0.96)),(((((MIN((J$14),99))/100))+5.0)/(1-(((MIN((J$14),99))/100))+5.0))))*100))/100))*0.96)),(((((MIN(($I$14),99))/100))+5.0)/(1-(((MIN(($I$14),99))/100))+5.0))))*100))/100))*0.96)),(((((MIN((H$14),99))/100))+5.0)/(1-(((MIN((H$14),99))/100))+5.0))))*100))/100))*0.96)),(((((MIN(($G14),99))/100))+5.0)/(1-(((MIN(($G14),99))/100))+5.0))))*100))/100))*0.96)),(((((MIN((F$14),99))/100))+5.0)/(1-(((MIN((F$14),99))/100))+5.0))))*100))/100))*0.96)),(((((MIN(($E$14),99))/100))+5.0)/(1-(((MIN(($E$14),99))/100))+5.0))))*100))/100))*0.96)),(((((MIN(($D14),99))/100))+5.0)/(1-(((MIN(($D14),99))/100))+5.0))))*100))/100))*0.96)),(((((MIN((C$14),99))/100))+5.0)/(1-(((MIN((C$14),99))/100))+5.0))))*100))/100))*0.96)),(((((MIN(($K$13),99))/100))+5.0)/(1-(((MIN(($K$13),99))/100))+5.0))))*100))/100))*0.96)),(((((MIN(($K$12),99))/100))+5.0)/(1-(((MIN(($K$12),99))/100))+5.0))))*100))/100))*0.96)),(((((MIN((K11),99))/100))+5.0)/(1-(((MIN((K11),99))/100))+5.0))))*100))/100))*0.96)),(((((MIN(($K$10),99))/100))+5.0)/(1-(((MIN(($K$10),99))/100))+5.0))))*100))/100))*0.96)),(((((MIN(($K$9),99))/100))+5.0)/(1-(((MIN(($K$9),99))/100))+5.0))))*100))/100))*0.96)),(((((MIN(($K$8),99))/100))+5.0)/(1-(((MIN(($K$8),99))/100))+5.0))))*100))/100))*0.96)),(((((MIN(($K$7),99))/100))+5.0)/(1-(((MIN(($K$7),99))/100))+5.0))))*100))/100))*0.96)),(((((MIN(($K$6),99))/100))+5.0)/(1-(((MIN(($K$6),99))/100))+5.0))))*100))/100))*0.96)),(((((MIN((K$5),99))/100))+5.0)/(1-(((MIN((K$5),99))/100))+5.0))))*100))/100))*0.96)),(((((MIN(($K$4),99))/100))+5.0)/(1-(((MIN(($K$4),99))/100))+5.0))))*100))/100))*0.96)),(((((MIN((K3),99))/100))+5.0)/(1-(((MIN((K3),99))/100))+5.0))))*100))/100))*0.96)),(((((MIN(($K2),99))/100))+5.0)/(1-(((MIN(($K2),99))/100))+5.0))))*100))/100))*0.96)),(((((MIN((K$1),99))/100))+5.0)/(1-(((MIN((K$1),99))/100))+5.0))))*100),0)</f>
        <v/>
      </c>
      <c r="L1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(17)/100))*0.96)),(((((MIN(($K14),99))/100))+5.0)/(1-(((MIN(($K14),99))/100))+5.0))))*100))/100))*0.96)),(((((MIN(($J$14),99))/100))+5.0)/(1-(((MIN(($J$14),99))/100))+5.0))))*100))/100))*0.96)),(((((MIN(($I$14),99))/100))+5.0)/(1-(((MIN(($I$14),99))/100))+5.0))))*100))/100))*0.96)),(((((MIN((H14),99))/100))+5.0)/(1-(((MIN((H14),99))/100))+5.0))))*100))/100))*0.96)),(((((MIN(($G14),99))/100))+5.0)/(1-(((MIN(($G14),99))/100))+5.0))))*100))/100))*0.96)),(((((MIN(($F$14),99))/100))+5.0)/(1-(((MIN(($F$14),99))/100))+5.0))))*100))/100))*0.96)),(((((MIN((E$14),99))/100))+5.0)/(1-(((MIN((E$14),99))/100))+5.0))))*100))/100))*0.96)),(((((MIN((D14),99))/100))+5.0)/(1-(((MIN((D14),99))/100))+5.0))))*100))/100))*0.96)),(((((MIN(($L$13),99))/100))+5.0)/(1-(((MIN(($L$13),99))/100))+5.0))))*100))/100))*0.96)),(((((MIN((L$12),99))/100))+5.0)/(1-(((MIN((L$12),99))/100))+5.0))))*100))/100))*0.96)),(((((MIN((L11),99))/100))+5.0)/(1-(((MIN((L11),99))/100))+5.0))))*100))/100))*0.96)),(((((MIN(($L$10),99))/100))+5.0)/(1-(((MIN(($L$10),99))/100))+5.0))))*100))/100))*0.96)),(((((MIN(($L9),99))/100))+5.0)/(1-(((MIN(($L9),99))/100))+5.0))))*100))/100))*0.96)),(((((MIN((L$8),99))/100))+5.0)/(1-(((MIN((L$8),99))/100))+5.0))))*100))/100))*0.96)),(((((MIN((L7),99))/100))+5.0)/(1-(((MIN((L7),99))/100))+5.0))))*100))/100))*0.96)),(((((MIN((L$6),99))/100))+5.0)/(1-(((MIN((L$6),99))/100))+5.0))))*100))/100))*0.96)),(((((MIN((L$5),99))/100))+5.0)/(1-(((MIN((L$5),99))/100))+5.0))))*100))/100))*0.96)),(((((MIN(($L4),99))/100))+5.0)/(1-(((MIN(($L4),99))/100))+5.0))))*100))/100))*0.96)),(((((MIN(($L$3),99))/100))+5.0)/(1-(((MIN(($L$3),99))/100))+5.0))))*100))/100))*0.96)),(((((MIN(($L2),99))/100))+5.0)/(1-(((MIN(($L2),99))/100))+5.0))))*100))/100))*0.96)),(((((MIN(($L$1),99))/100))+5.0)/(1-(((MIN(($L$1),99))/100))+5.0))))*100),0)</f>
        <v/>
      </c>
      <c r="M1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(25)/100))*0.96)),(((((MIN(($L14),99))/100))+5.0)/(1-(((MIN(($L14),99))/100))+5.0))))*100))/100))*0.96)),(((((MIN((K14),99))/100))+5.0)/(1-(((MIN((K14),99))/100))+5.0))))*100))/100))*0.96)),(((((MIN((J14),99))/100))+5.0)/(1-(((MIN((J14),99))/100))+5.0))))*100))/100))*0.96)),(((((MIN((I14),99))/100))+5.0)/(1-(((MIN((I14),99))/100))+5.0))))*100))/100))*0.96)),(((((MIN((H14),99))/100))+5.0)/(1-(((MIN((H14),99))/100))+5.0))))*100))/100))*0.96)),(((((MIN(($G$14),99))/100))+5.0)/(1-(((MIN(($G$14),99))/100))+5.0))))*100))/100))*0.96)),(((((MIN(($F$14),99))/100))+5.0)/(1-(((MIN(($F$14),99))/100))+5.0))))*100))/100))*0.96)),(((((MIN(($E14),99))/100))+5.0)/(1-(((MIN(($E14),99))/100))+5.0))))*100))/100))*0.96)),(((((MIN((M$13),99))/100))+5.0)/(1-(((MIN((M$13),99))/100))+5.0))))*100))/100))*0.96)),(((((MIN(($M12),99))/100))+5.0)/(1-(((MIN(($M12),99))/100))+5.0))))*100))/100))*0.96)),(((((MIN((M11),99))/100))+5.0)/(1-(((MIN((M11),99))/100))+5.0))))*100))/100))*0.96)),(((((MIN((M10),99))/100))+5.0)/(1-(((MIN((M10),99))/100))+5.0))))*100))/100))*0.96)),(((((MIN((M$9),99))/100))+5.0)/(1-(((MIN((M$9),99))/100))+5.0))))*100))/100))*0.96)),(((((MIN(($M8),99))/100))+5.0)/(1-(((MIN(($M8),99))/100))+5.0))))*100))/100))*0.96)),(((((MIN(($M7),99))/100))+5.0)/(1-(((MIN(($M7),99))/100))+5.0))))*100))/100))*0.96)),(((((MIN(($M6),99))/100))+5.0)/(1-(((MIN(($M6),99))/100))+5.0))))*100))/100))*0.96)),(((((MIN((M5),99))/100))+5.0)/(1-(((MIN((M5),99))/100))+5.0))))*100))/100))*0.96)),(((((MIN((M$4),99))/100))+5.0)/(1-(((MIN((M$4),99))/100))+5.0))))*100))/100))*0.96)),(((((MIN(($M3),99))/100))+5.0)/(1-(((MIN(($M3),99))/100))+5.0))))*100))/100))*0.96)),(((((MIN(($M$2),99))/100))+5.0)/(1-(((MIN(($M$2),99))/100))+5.0))))*100))/100))*0.96)),(((((MIN(($M$1),99))/100))+5.0)/(1-(((MIN(($M$1),99))/100))+5.0))))*100),0)</f>
        <v/>
      </c>
      <c r="N1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(93)/100))*0.96)),(((((MIN((M14),99))/100))+5.0)/(1-(((MIN((M14),99))/100))+5.0))))*100))/100))*0.96)),(((((MIN(($L14),99))/100))+5.0)/(1-(((MIN(($L14),99))/100))+5.0))))*100))/100))*0.96)),(((((MIN((K14),99))/100))+5.0)/(1-(((MIN((K14),99))/100))+5.0))))*100))/100))*0.96)),(((((MIN(($J14),99))/100))+5.0)/(1-(((MIN(($J14),99))/100))+5.0))))*100))/100))*0.96)),(((((MIN(($I$14),99))/100))+5.0)/(1-(((MIN(($I$14),99))/100))+5.0))))*100))/100))*0.96)),(((((MIN((H14),99))/100))+5.0)/(1-(((MIN((H14),99))/100))+5.0))))*100))/100))*0.96)),(((((MIN((G$14),99))/100))+5.0)/(1-(((MIN((G$14),99))/100))+5.0))))*100))/100))*0.96)),(((((MIN((F$14),99))/100))+5.0)/(1-(((MIN((F$14),99))/100))+5.0))))*100))/100))*0.96)),(((((MIN(($N13),99))/100))+5.0)/(1-(((MIN(($N13),99))/100))+5.0))))*100))/100))*0.96)),(((((MIN(($N12),99))/100))+5.0)/(1-(((MIN(($N12),99))/100))+5.0))))*100))/100))*0.96)),(((((MIN((N11),99))/100))+5.0)/(1-(((MIN((N11),99))/100))+5.0))))*100))/100))*0.96)),(((((MIN((N$10),99))/100))+5.0)/(1-(((MIN((N$10),99))/100))+5.0))))*100))/100))*0.96)),(((((MIN((N$9),99))/100))+5.0)/(1-(((MIN((N$9),99))/100))+5.0))))*100))/100))*0.96)),(((((MIN((N8),99))/100))+5.0)/(1-(((MIN((N8),99))/100))+5.0))))*100))/100))*0.96)),(((((MIN((N7),99))/100))+5.0)/(1-(((MIN((N7),99))/100))+5.0))))*100))/100))*0.96)),(((((MIN((N6),99))/100))+5.0)/(1-(((MIN((N6),99))/100))+5.0))))*100))/100))*0.96)),(((((MIN(($N5),99))/100))+5.0)/(1-(((MIN(($N5),99))/100))+5.0))))*100))/100))*0.96)),(((((MIN((N$4),99))/100))+5.0)/(1-(((MIN((N$4),99))/100))+5.0))))*100))/100))*0.96)),(((((MIN((N$3),99))/100))+5.0)/(1-(((MIN((N$3),99))/100))+5.0))))*100))/100))*0.96)),(((((MIN(($N$2),99))/100))+5.0)/(1-(((MIN(($N$2),99))/100))+5.0))))*100))/100))*0.96)),(((((MIN(($N1),99))/100))+5.0)/(1-(((MIN(($N1),99))/100))+5.0))))*100),0)</f>
        <v/>
      </c>
      <c r="O1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(81)/100))*0.96)),(((((MIN((N14),99))/100))+5.0)/(1-(((MIN((N14),99))/100))+5.0))))*100))/100))*0.96)),(((((MIN((M14),99))/100))+5.0)/(1-(((MIN((M14),99))/100))+5.0))))*100))/100))*0.96)),(((((MIN((L$14),99))/100))+5.0)/(1-(((MIN((L$14),99))/100))+5.0))))*100))/100))*0.96)),(((((MIN((K14),99))/100))+5.0)/(1-(((MIN((K14),99))/100))+5.0))))*100))/100))*0.96)),(((((MIN(($J14),99))/100))+5.0)/(1-(((MIN(($J14),99))/100))+5.0))))*100))/100))*0.96)),(((((MIN((I14),99))/100))+5.0)/(1-(((MIN((I14),99))/100))+5.0))))*100))/100))*0.96)),(((((MIN((H14),99))/100))+5.0)/(1-(((MIN((H14),99))/100))+5.0))))*100))/100))*0.96)),(((((MIN((G14),99))/100))+5.0)/(1-(((MIN((G14),99))/100))+5.0))))*100))/100))*0.96)),(((((MIN((O$13),99))/100))+5.0)/(1-(((MIN((O$13),99))/100))+5.0))))*100))/100))*0.96)),(((((MIN(($O12),99))/100))+5.0)/(1-(((MIN(($O12),99))/100))+5.0))))*100))/100))*0.96)),(((((MIN(($O11),99))/100))+5.0)/(1-(((MIN(($O11),99))/100))+5.0))))*100))/100))*0.96)),(((((MIN((O10),99))/100))+5.0)/(1-(((MIN((O10),99))/100))+5.0))))*100))/100))*0.96)),(((((MIN((O9),99))/100))+5.0)/(1-(((MIN((O9),99))/100))+5.0))))*100))/100))*0.96)),(((((MIN((O$8),99))/100))+5.0)/(1-(((MIN((O$8),99))/100))+5.0))))*100))/100))*0.96)),(((((MIN(($O7),99))/100))+5.0)/(1-(((MIN(($O7),99))/100))+5.0))))*100))/100))*0.96)),(((((MIN(($O6),99))/100))+5.0)/(1-(((MIN(($O6),99))/100))+5.0))))*100))/100))*0.96)),(((((MIN((O$5),99))/100))+5.0)/(1-(((MIN((O$5),99))/100))+5.0))))*100))/100))*0.96)),(((((MIN((O4),99))/100))+5.0)/(1-(((MIN((O4),99))/100))+5.0))))*100))/100))*0.96)),(((((MIN(($O$3),99))/100))+5.0)/(1-(((MIN(($O$3),99))/100))+5.0))))*100))/100))*0.96)),(((((MIN((O$2),99))/100))+5.0)/(1-(((MIN((O$2),99))/100))+5.0))))*100))/100))*0.96)),(((((MIN(($O1),99))/100))+5.0)/(1-(((MIN(($O1),99))/100))+5.0))))*100),0)</f>
        <v/>
      </c>
      <c r="P1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(50)/100))*0.96)),(((((MIN(($O$14),99))/100))+5.0)/(1-(((MIN(($O$14),99))/100))+5.0))))*100))/100))*0.96)),(((((MIN(($N14),99))/100))+5.0)/(1-(((MIN(($N14),99))/100))+5.0))))*100))/100))*0.96)),(((((MIN((M$14),99))/100))+5.0)/(1-(((MIN((M$14),99))/100))+5.0))))*100))/100))*0.96)),(((((MIN(($L$14),99))/100))+5.0)/(1-(((MIN(($L$14),99))/100))+5.0))))*100))/100))*0.96)),(((((MIN((K$14),99))/100))+5.0)/(1-(((MIN((K$14),99))/100))+5.0))))*100))/100))*0.96)),(((((MIN(($J$14),99))/100))+5.0)/(1-(((MIN(($J$14),99))/100))+5.0))))*100))/100))*0.96)),(((((MIN((I$14),99))/100))+5.0)/(1-(((MIN((I$14),99))/100))+5.0))))*100))/100))*0.96)),(((((MIN(($H14),99))/100))+5.0)/(1-(((MIN(($H14),99))/100))+5.0))))*100))/100))*0.96)),(((((MIN((P$13),99))/100))+5.0)/(1-(((MIN((P$13),99))/100))+5.0))))*100))/100))*0.96)),(((((MIN(($P$12),99))/100))+5.0)/(1-(((MIN(($P$12),99))/100))+5.0))))*100))/100))*0.96)),(((((MIN(($P11),99))/100))+5.0)/(1-(((MIN(($P11),99))/100))+5.0))))*100))/100))*0.96)),(((((MIN(($P$10),99))/100))+5.0)/(1-(((MIN(($P$10),99))/100))+5.0))))*100))/100))*0.96)),(((((MIN((P9),99))/100))+5.0)/(1-(((MIN((P9),99))/100))+5.0))))*100))/100))*0.96)),(((((MIN(($P8),99))/100))+5.0)/(1-(((MIN(($P8),99))/100))+5.0))))*100))/100))*0.96)),(((((MIN((P7),99))/100))+5.0)/(1-(((MIN((P7),99))/100))+5.0))))*100))/100))*0.96)),(((((MIN((P$6),99))/100))+5.0)/(1-(((MIN((P$6),99))/100))+5.0))))*100))/100))*0.96)),(((((MIN(($P$5),99))/100))+5.0)/(1-(((MIN(($P$5),99))/100))+5.0))))*100))/100))*0.96)),(((((MIN(($P$4),99))/100))+5.0)/(1-(((MIN(($P$4),99))/100))+5.0))))*100))/100))*0.96)),(((((MIN((P3),99))/100))+5.0)/(1-(((MIN((P3),99))/100))+5.0))))*100))/100))*0.96)),(((((MIN(($P2),99))/100))+5.0)/(1-(((MIN(($P2),99))/100))+5.0))))*100))/100))*0.96)),(((((MIN(($P$1),99))/100))+5.0)/(1-(((MIN(($P$1),99))/100))+5.0))))*100),0)</f>
        <v/>
      </c>
      <c r="Q1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(77)/100))*0.96)),(((((MIN((P$14),99))/100))+5.0)/(1-(((MIN((P$14),99))/100))+5.0))))*100))/100))*0.96)),(((((MIN(($O14),99))/100))+5.0)/(1-(((MIN(($O14),99))/100))+5.0))))*100))/100))*0.96)),(((((MIN(($N14),99))/100))+5.0)/(1-(((MIN(($N14),99))/100))+5.0))))*100))/100))*0.96)),(((((MIN(($M$14),99))/100))+5.0)/(1-(((MIN(($M$14),99))/100))+5.0))))*100))/100))*0.96)),(((((MIN((L14),99))/100))+5.0)/(1-(((MIN((L14),99))/100))+5.0))))*100))/100))*0.96)),(((((MIN(($K14),99))/100))+5.0)/(1-(((MIN(($K14),99))/100))+5.0))))*100))/100))*0.96)),(((((MIN(($J14),99))/100))+5.0)/(1-(((MIN(($J14),99))/100))+5.0))))*100))/100))*0.96)),(((((MIN(($I$14),99))/100))+5.0)/(1-(((MIN(($I$14),99))/100))+5.0))))*100))/100))*0.96)),(((((MIN((Q$13),99))/100))+5.0)/(1-(((MIN((Q$13),99))/100))+5.0))))*100))/100))*0.96)),(((((MIN((Q$12),99))/100))+5.0)/(1-(((MIN((Q$12),99))/100))+5.0))))*100))/100))*0.96)),(((((MIN((Q11),99))/100))+5.0)/(1-(((MIN((Q11),99))/100))+5.0))))*100))/100))*0.96)),(((((MIN((Q$10),99))/100))+5.0)/(1-(((MIN((Q$10),99))/100))+5.0))))*100))/100))*0.96)),(((((MIN(($Q$9),99))/100))+5.0)/(1-(((MIN(($Q$9),99))/100))+5.0))))*100))/100))*0.96)),(((((MIN(($Q$8),99))/100))+5.0)/(1-(((MIN(($Q$8),99))/100))+5.0))))*100))/100))*0.96)),(((((MIN((Q$7),99))/100))+5.0)/(1-(((MIN((Q$7),99))/100))+5.0))))*100))/100))*0.96)),(((((MIN(($Q$6),99))/100))+5.0)/(1-(((MIN(($Q$6),99))/100))+5.0))))*100))/100))*0.96)),(((((MIN(($Q$5),99))/100))+5.0)/(1-(((MIN(($Q$5),99))/100))+5.0))))*100))/100))*0.96)),(((((MIN((Q$4),99))/100))+5.0)/(1-(((MIN((Q$4),99))/100))+5.0))))*100))/100))*0.96)),(((((MIN((Q3),99))/100))+5.0)/(1-(((MIN((Q3),99))/100))+5.0))))*100))/100))*0.96)),(((((MIN((Q$2),99))/100))+5.0)/(1-(((MIN((Q$2),99))/100))+5.0))))*100))/100))*0.96)),(((((MIN((Q$1),99))/100))+5.0)/(1-(((MIN((Q$1),99))/100))+5.0))))*100),0)</f>
        <v/>
      </c>
      <c r="R1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(70)/100))*0.96)),(((((MIN((Q$14),99))/100))+5.0)/(1-(((MIN((Q$14),99))/100))+5.0))))*100))/100))*0.96)),(((((MIN((P14),99))/100))+5.0)/(1-(((MIN((P14),99))/100))+5.0))))*100))/100))*0.96)),(((((MIN(($O14),99))/100))+5.0)/(1-(((MIN(($O14),99))/100))+5.0))))*100))/100))*0.96)),(((((MIN(($N14),99))/100))+5.0)/(1-(((MIN(($N14),99))/100))+5.0))))*100))/100))*0.96)),(((((MIN((M$14),99))/100))+5.0)/(1-(((MIN((M$14),99))/100))+5.0))))*100))/100))*0.96)),(((((MIN(($L14),99))/100))+5.0)/(1-(((MIN(($L14),99))/100))+5.0))))*100))/100))*0.96)),(((((MIN(($K14),99))/100))+5.0)/(1-(((MIN(($K14),99))/100))+5.0))))*100))/100))*0.96)),(((((MIN((J14),99))/100))+5.0)/(1-(((MIN((J14),99))/100))+5.0))))*100))/100))*0.96)),(((((MIN((R13),99))/100))+5.0)/(1-(((MIN((R13),99))/100))+5.0))))*100))/100))*0.96)),(((((MIN(($R12),99))/100))+5.0)/(1-(((MIN(($R12),99))/100))+5.0))))*100))/100))*0.96)),(((((MIN((R$11),99))/100))+5.0)/(1-(((MIN((R$11),99))/100))+5.0))))*100))/100))*0.96)),(((((MIN((R10),99))/100))+5.0)/(1-(((MIN((R10),99))/100))+5.0))))*100))/100))*0.96)),(((((MIN(($R9),99))/100))+5.0)/(1-(((MIN(($R9),99))/100))+5.0))))*100))/100))*0.96)),(((((MIN((R8),99))/100))+5.0)/(1-(((MIN((R8),99))/100))+5.0))))*100))/100))*0.96)),(((((MIN((R7),99))/100))+5.0)/(1-(((MIN((R7),99))/100))+5.0))))*100))/100))*0.96)),(((((MIN((R$6),99))/100))+5.0)/(1-(((MIN((R$6),99))/100))+5.0))))*100))/100))*0.96)),(((((MIN(($R$5),99))/100))+5.0)/(1-(((MIN(($R$5),99))/100))+5.0))))*100))/100))*0.96)),(((((MIN(($R$4),99))/100))+5.0)/(1-(((MIN(($R$4),99))/100))+5.0))))*100))/100))*0.96)),(((((MIN((R3),99))/100))+5.0)/(1-(((MIN((R3),99))/100))+5.0))))*100))/100))*0.96)),(((((MIN((R$2),99))/100))+5.0)/(1-(((MIN((R$2),99))/100))+5.0))))*100))/100))*0.96)),(((((MIN((R$1),99))/100))+5.0)/(1-(((MIN((R$1),99))/100))+5.0))))*100),0)</f>
        <v/>
      </c>
      <c r="S1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(68)/100))*0.96)),(((((MIN(($R14),99))/100))+5.0)/(1-(((MIN(($R14),99))/100))+5.0))))*100))/100))*0.96)),(((((MIN(($Q14),99))/100))+5.0)/(1-(((MIN(($Q14),99))/100))+5.0))))*100))/100))*0.96)),(((((MIN(($P$14),99))/100))+5.0)/(1-(((MIN(($P$14),99))/100))+5.0))))*100))/100))*0.96)),(((((MIN(($O14),99))/100))+5.0)/(1-(((MIN(($O14),99))/100))+5.0))))*100))/100))*0.96)),(((((MIN(($N$14),99))/100))+5.0)/(1-(((MIN(($N$14),99))/100))+5.0))))*100))/100))*0.96)),(((((MIN(($M14),99))/100))+5.0)/(1-(((MIN(($M14),99))/100))+5.0))))*100))/100))*0.96)),(((((MIN((L$14),99))/100))+5.0)/(1-(((MIN((L$14),99))/100))+5.0))))*100))/100))*0.96)),(((((MIN((K$14),99))/100))+5.0)/(1-(((MIN((K$14),99))/100))+5.0))))*100))/100))*0.96)),(((((MIN(($S$13),99))/100))+5.0)/(1-(((MIN(($S$13),99))/100))+5.0))))*100))/100))*0.96)),(((((MIN((S$12),99))/100))+5.0)/(1-(((MIN((S$12),99))/100))+5.0))))*100))/100))*0.96)),(((((MIN(($S11),99))/100))+5.0)/(1-(((MIN(($S11),99))/100))+5.0))))*100))/100))*0.96)),(((((MIN((S$10),99))/100))+5.0)/(1-(((MIN((S$10),99))/100))+5.0))))*100))/100))*0.96)),(((((MIN(($S9),99))/100))+5.0)/(1-(((MIN(($S9),99))/100))+5.0))))*100))/100))*0.96)),(((((MIN(($S8),99))/100))+5.0)/(1-(((MIN(($S8),99))/100))+5.0))))*100))/100))*0.96)),(((((MIN(($S$7),99))/100))+5.0)/(1-(((MIN(($S$7),99))/100))+5.0))))*100))/100))*0.96)),(((((MIN((S6),99))/100))+5.0)/(1-(((MIN((S6),99))/100))+5.0))))*100))/100))*0.96)),(((((MIN((S$5),99))/100))+5.0)/(1-(((MIN((S$5),99))/100))+5.0))))*100))/100))*0.96)),(((((MIN(($S$4),99))/100))+5.0)/(1-(((MIN(($S$4),99))/100))+5.0))))*100))/100))*0.96)),(((((MIN(($S3),99))/100))+5.0)/(1-(((MIN(($S3),99))/100))+5.0))))*100))/100))*0.96)),(((((MIN((S$2),99))/100))+5.0)/(1-(((MIN((S$2),99))/100))+5.0))))*100))/100))*0.96)),(((((MIN(($S$1),99))/100))+5.0)/(1-(((MIN(($S$1),99))/100))+5.0))))*100),0)</f>
        <v/>
      </c>
      <c r="T1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(36)/100))*0.96)),(((((MIN(($S14),99))/100))+5.0)/(1-(((MIN(($S14),99))/100))+5.0))))*100))/100))*0.96)),(((((MIN((R$14),99))/100))+5.0)/(1-(((MIN((R$14),99))/100))+5.0))))*100))/100))*0.96)),(((((MIN(($Q$14),99))/100))+5.0)/(1-(((MIN(($Q$14),99))/100))+5.0))))*100))/100))*0.96)),(((((MIN((P14),99))/100))+5.0)/(1-(((MIN((P14),99))/100))+5.0))))*100))/100))*0.96)),(((((MIN(($O$14),99))/100))+5.0)/(1-(((MIN(($O$14),99))/100))+5.0))))*100))/100))*0.96)),(((((MIN(($N14),99))/100))+5.0)/(1-(((MIN(($N14),99))/100))+5.0))))*100))/100))*0.96)),(((((MIN((M14),99))/100))+5.0)/(1-(((MIN((M14),99))/100))+5.0))))*100))/100))*0.96)),(((((MIN(($L14),99))/100))+5.0)/(1-(((MIN(($L14),99))/100))+5.0))))*100))/100))*0.96)),(((((MIN((T$13),99))/100))+5.0)/(1-(((MIN((T$13),99))/100))+5.0))))*100))/100))*0.96)),(((((MIN((T$12),99))/100))+5.0)/(1-(((MIN((T$12),99))/100))+5.0))))*100))/100))*0.96)),(((((MIN((T$11),99))/100))+5.0)/(1-(((MIN((T$11),99))/100))+5.0))))*100))/100))*0.96)),(((((MIN(($T10),99))/100))+5.0)/(1-(((MIN(($T10),99))/100))+5.0))))*100))/100))*0.96)),(((((MIN((T$9),99))/100))+5.0)/(1-(((MIN((T$9),99))/100))+5.0))))*100))/100))*0.96)),(((((MIN((T8),99))/100))+5.0)/(1-(((MIN((T8),99))/100))+5.0))))*100))/100))*0.96)),(((((MIN((T$7),99))/100))+5.0)/(1-(((MIN((T$7),99))/100))+5.0))))*100))/100))*0.96)),(((((MIN(($T6),99))/100))+5.0)/(1-(((MIN(($T6),99))/100))+5.0))))*100))/100))*0.96)),(((((MIN(($T5),99))/100))+5.0)/(1-(((MIN(($T5),99))/100))+5.0))))*100))/100))*0.96)),(((((MIN((T4),99))/100))+5.0)/(1-(((MIN((T4),99))/100))+5.0))))*100))/100))*0.96)),(((((MIN((T3),99))/100))+5.0)/(1-(((MIN((T3),99))/100))+5.0))))*100))/100))*0.96)),(((((MIN((T2),99))/100))+5.0)/(1-(((MIN((T2),99))/100))+5.0))))*100))/100))*0.96)),(((((MIN((T$1),99))/100))+5.0)/(1-(((MIN((T$1),99))/100))+5.0))))*100),0)</f>
        <v/>
      </c>
    </row>
    <row r="15">
      <c r="A1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(54)/100))*0.96)),(((((MIN(($A14),99))/100))+5.0)/(1-(((MIN(($A14),99))/100))+5.0))))*100))/100))*0.96)),(((((MIN((A13),99))/100))+5.0)/(1-(((MIN((A13),99))/100))+5.0))))*100))/100))*0.96)),(((((MIN((A$12),99))/100))+5.0)/(1-(((MIN((A$12),99))/100))+5.0))))*100))/100))*0.96)),(((((MIN(($A11),99))/100))+5.0)/(1-(((MIN(($A11),99))/100))+5.0))))*100))/100))*0.96)),(((((MIN(($A$10),99))/100))+5.0)/(1-(((MIN(($A$10),99))/100))+5.0))))*100))/100))*0.96)),(((((MIN(($A9),99))/100))+5.0)/(1-(((MIN(($A9),99))/100))+5.0))))*100))/100))*0.96)),(((((MIN((A$8),99))/100))+5.0)/(1-(((MIN((A$8),99))/100))+5.0))))*100))/100))*0.96)),(((((MIN((A$7),99))/100))+5.0)/(1-(((MIN((A$7),99))/100))+5.0))))*100))/100))*0.96)),(((((MIN((A$6),99))/100))+5.0)/(1-(((MIN((A$6),99))/100))+5.0))))*100))/100))*0.96)),(((((MIN((A$5),99))/100))+5.0)/(1-(((MIN((A$5),99))/100))+5.0))))*100))/100))*0.96)),(((((MIN((A$4),99))/100))+5.0)/(1-(((MIN((A$4),99))/100))+5.0))))*100))/100))*0.96)),(((((MIN((A$3),99))/100))+5.0)/(1-(((MIN((A$3),99))/100))+5.0))))*100))/100))*0.96)),(((((MIN(($A$2),99))/100))+5.0)/(1-(((MIN(($A$2),99))/100))+5.0))))*100))/100))*0.96)),(((((MIN((A1),99))/100))+5.0)/(1-(((MIN((A1),99))/100))+5.0))))*100),0)</f>
        <v/>
      </c>
      <c r="B1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(68)/100))*0.96)),(((((MIN(($A$15),99))/100))+5.0)/(1-(((MIN(($A$15),99))/100))+5.0))))*100))/100))*0.96)),(((((MIN(($B$14),99))/100))+5.0)/(1-(((MIN(($B$14),99))/100))+5.0))))*100))/100))*0.96)),(((((MIN((B$13),99))/100))+5.0)/(1-(((MIN((B$13),99))/100))+5.0))))*100))/100))*0.96)),(((((MIN(($B$12),99))/100))+5.0)/(1-(((MIN(($B$12),99))/100))+5.0))))*100))/100))*0.96)),(((((MIN(($B11),99))/100))+5.0)/(1-(((MIN(($B11),99))/100))+5.0))))*100))/100))*0.96)),(((((MIN(($B$10),99))/100))+5.0)/(1-(((MIN(($B$10),99))/100))+5.0))))*100))/100))*0.96)),(((((MIN((B9),99))/100))+5.0)/(1-(((MIN((B9),99))/100))+5.0))))*100))/100))*0.96)),(((((MIN((B$8),99))/100))+5.0)/(1-(((MIN((B$8),99))/100))+5.0))))*100))/100))*0.96)),(((((MIN((B$7),99))/100))+5.0)/(1-(((MIN((B$7),99))/100))+5.0))))*100))/100))*0.96)),(((((MIN((B6),99))/100))+5.0)/(1-(((MIN((B6),99))/100))+5.0))))*100))/100))*0.96)),(((((MIN(($B$5),99))/100))+5.0)/(1-(((MIN(($B$5),99))/100))+5.0))))*100))/100))*0.96)),(((((MIN(($B$4),99))/100))+5.0)/(1-(((MIN(($B$4),99))/100))+5.0))))*100))/100))*0.96)),(((((MIN(($B$3),99))/100))+5.0)/(1-(((MIN(($B$3),99))/100))+5.0))))*100))/100))*0.96)),(((((MIN(($B2),99))/100))+5.0)/(1-(((MIN(($B2),99))/100))+5.0))))*100))/100))*0.96)),(((((MIN((B1),99))/100))+5.0)/(1-(((MIN((B1),99))/100))+5.0))))*100),0)</f>
        <v/>
      </c>
      <c r="C1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(84)/100))*0.96)),(((((MIN((B$15),99))/100))+5.0)/(1-(((MIN((B$15),99))/100))+5.0))))*100))/100))*0.96)),(((((MIN(($A$15),99))/100))+5.0)/(1-(((MIN(($A$15),99))/100))+5.0))))*100))/100))*0.96)),(((((MIN((C$14),99))/100))+5.0)/(1-(((MIN((C$14),99))/100))+5.0))))*100))/100))*0.96)),(((((MIN(($C$13),99))/100))+5.0)/(1-(((MIN(($C$13),99))/100))+5.0))))*100))/100))*0.96)),(((((MIN(($C$12),99))/100))+5.0)/(1-(((MIN(($C$12),99))/100))+5.0))))*100))/100))*0.96)),(((((MIN(($C11),99))/100))+5.0)/(1-(((MIN(($C11),99))/100))+5.0))))*100))/100))*0.96)),(((((MIN(($C$10),99))/100))+5.0)/(1-(((MIN(($C$10),99))/100))+5.0))))*100))/100))*0.96)),(((((MIN((C9),99))/100))+5.0)/(1-(((MIN((C9),99))/100))+5.0))))*100))/100))*0.96)),(((((MIN((C$8),99))/100))+5.0)/(1-(((MIN((C$8),99))/100))+5.0))))*100))/100))*0.96)),(((((MIN((C7),99))/100))+5.0)/(1-(((MIN((C7),99))/100))+5.0))))*100))/100))*0.96)),(((((MIN(($C6),99))/100))+5.0)/(1-(((MIN(($C6),99))/100))+5.0))))*100))/100))*0.96)),(((((MIN((C5),99))/100))+5.0)/(1-(((MIN((C5),99))/100))+5.0))))*100))/100))*0.96)),(((((MIN(($C4),99))/100))+5.0)/(1-(((MIN(($C4),99))/100))+5.0))))*100))/100))*0.96)),(((((MIN((C3),99))/100))+5.0)/(1-(((MIN((C3),99))/100))+5.0))))*100))/100))*0.96)),(((((MIN((C$2),99))/100))+5.0)/(1-(((MIN((C$2),99))/100))+5.0))))*100))/100))*0.96)),(((((MIN((C$1),99))/100))+5.0)/(1-(((MIN((C$1),99))/100))+5.0))))*100),0)</f>
        <v/>
      </c>
      <c r="D1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(23)/100))*0.96)),(((((MIN((C15),99))/100))+5.0)/(1-(((MIN((C15),99))/100))+5.0))))*100))/100))*0.96)),(((((MIN((B15),99))/100))+5.0)/(1-(((MIN((B15),99))/100))+5.0))))*100))/100))*0.96)),(((((MIN((A15),99))/100))+5.0)/(1-(((MIN((A15),99))/100))+5.0))))*100))/100))*0.96)),(((((MIN((D14),99))/100))+5.0)/(1-(((MIN((D14),99))/100))+5.0))))*100))/100))*0.96)),(((((MIN(($D13),99))/100))+5.0)/(1-(((MIN(($D13),99))/100))+5.0))))*100))/100))*0.96)),(((((MIN((D12),99))/100))+5.0)/(1-(((MIN((D12),99))/100))+5.0))))*100))/100))*0.96)),(((((MIN(($D11),99))/100))+5.0)/(1-(((MIN(($D11),99))/100))+5.0))))*100))/100))*0.96)),(((((MIN((D$10),99))/100))+5.0)/(1-(((MIN((D$10),99))/100))+5.0))))*100))/100))*0.96)),(((((MIN(($D9),99))/100))+5.0)/(1-(((MIN(($D9),99))/100))+5.0))))*100))/100))*0.96)),(((((MIN(($D$8),99))/100))+5.0)/(1-(((MIN(($D$8),99))/100))+5.0))))*100))/100))*0.96)),(((((MIN(($D7),99))/100))+5.0)/(1-(((MIN(($D7),99))/100))+5.0))))*100))/100))*0.96)),(((((MIN((D6),99))/100))+5.0)/(1-(((MIN((D6),99))/100))+5.0))))*100))/100))*0.96)),(((((MIN((D5),99))/100))+5.0)/(1-(((MIN((D5),99))/100))+5.0))))*100))/100))*0.96)),(((((MIN(($D4),99))/100))+5.0)/(1-(((MIN(($D4),99))/100))+5.0))))*100))/100))*0.96)),(((((MIN((D3),99))/100))+5.0)/(1-(((MIN((D3),99))/100))+5.0))))*100))/100))*0.96)),(((((MIN((D2),99))/100))+5.0)/(1-(((MIN((D2),99))/100))+5.0))))*100))/100))*0.96)),(((((MIN((D$1),99))/100))+5.0)/(1-(((MIN((D$1),99))/100))+5.0))))*100),0)</f>
        <v/>
      </c>
      <c r="E1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(10)/100))*0.96)),(((((MIN(($D15),99))/100))+5.0)/(1-(((MIN(($D15),99))/100))+5.0))))*100))/100))*0.96)),(((((MIN((C$15),99))/100))+5.0)/(1-(((MIN((C$15),99))/100))+5.0))))*100))/100))*0.96)),(((((MIN(($B$15),99))/100))+5.0)/(1-(((MIN(($B$15),99))/100))+5.0))))*100))/100))*0.96)),(((((MIN(($A$15),99))/100))+5.0)/(1-(((MIN(($A$15),99))/100))+5.0))))*100))/100))*0.96)),(((((MIN(($E$14),99))/100))+5.0)/(1-(((MIN(($E$14),99))/100))+5.0))))*100))/100))*0.96)),(((((MIN((E$13),99))/100))+5.0)/(1-(((MIN((E$13),99))/100))+5.0))))*100))/100))*0.96)),(((((MIN((E12),99))/100))+5.0)/(1-(((MIN((E12),99))/100))+5.0))))*100))/100))*0.96)),(((((MIN((E11),99))/100))+5.0)/(1-(((MIN((E11),99))/100))+5.0))))*100))/100))*0.96)),(((((MIN(($E10),99))/100))+5.0)/(1-(((MIN(($E10),99))/100))+5.0))))*100))/100))*0.96)),(((((MIN((E9),99))/100))+5.0)/(1-(((MIN((E9),99))/100))+5.0))))*100))/100))*0.96)),(((((MIN(($E8),99))/100))+5.0)/(1-(((MIN(($E8),99))/100))+5.0))))*100))/100))*0.96)),(((((MIN((E7),99))/100))+5.0)/(1-(((MIN((E7),99))/100))+5.0))))*100))/100))*0.96)),(((((MIN((E6),99))/100))+5.0)/(1-(((MIN((E6),99))/100))+5.0))))*100))/100))*0.96)),(((((MIN(($E5),99))/100))+5.0)/(1-(((MIN(($E5),99))/100))+5.0))))*100))/100))*0.96)),(((((MIN(($E$4),99))/100))+5.0)/(1-(((MIN(($E$4),99))/100))+5.0))))*100))/100))*0.96)),(((((MIN(($E3),99))/100))+5.0)/(1-(((MIN(($E3),99))/100))+5.0))))*100))/100))*0.96)),(((((MIN((E2),99))/100))+5.0)/(1-(((MIN((E2),99))/100))+5.0))))*100))/100))*0.96)),(((((MIN((E$1),99))/100))+5.0)/(1-(((MIN((E$1),99))/100))+5.0))))*100),0)</f>
        <v/>
      </c>
      <c r="F1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(64)/100))*0.96)),(((((MIN((E15),99))/100))+5.0)/(1-(((MIN((E15),99))/100))+5.0))))*100))/100))*0.96)),(((((MIN(($D$15),99))/100))+5.0)/(1-(((MIN(($D$15),99))/100))+5.0))))*100))/100))*0.96)),(((((MIN((C15),99))/100))+5.0)/(1-(((MIN((C15),99))/100))+5.0))))*100))/100))*0.96)),(((((MIN(($B15),99))/100))+5.0)/(1-(((MIN(($B15),99))/100))+5.0))))*100))/100))*0.96)),(((((MIN((A15),99))/100))+5.0)/(1-(((MIN((A15),99))/100))+5.0))))*100))/100))*0.96)),(((((MIN((F14),99))/100))+5.0)/(1-(((MIN((F14),99))/100))+5.0))))*100))/100))*0.96)),(((((MIN((F13),99))/100))+5.0)/(1-(((MIN((F13),99))/100))+5.0))))*100))/100))*0.96)),(((((MIN((F$12),99))/100))+5.0)/(1-(((MIN((F$12),99))/100))+5.0))))*100))/100))*0.96)),(((((MIN((F$11),99))/100))+5.0)/(1-(((MIN((F$11),99))/100))+5.0))))*100))/100))*0.96)),(((((MIN((F$10),99))/100))+5.0)/(1-(((MIN((F$10),99))/100))+5.0))))*100))/100))*0.96)),(((((MIN((F$9),99))/100))+5.0)/(1-(((MIN((F$9),99))/100))+5.0))))*100))/100))*0.96)),(((((MIN(($F$8),99))/100))+5.0)/(1-(((MIN(($F$8),99))/100))+5.0))))*100))/100))*0.96)),(((((MIN(($F$7),99))/100))+5.0)/(1-(((MIN(($F$7),99))/100))+5.0))))*100))/100))*0.96)),(((((MIN(($F$6),99))/100))+5.0)/(1-(((MIN(($F$6),99))/100))+5.0))))*100))/100))*0.96)),(((((MIN(($F5),99))/100))+5.0)/(1-(((MIN(($F5),99))/100))+5.0))))*100))/100))*0.96)),(((((MIN((F$4),99))/100))+5.0)/(1-(((MIN((F$4),99))/100))+5.0))))*100))/100))*0.96)),(((((MIN(($F3),99))/100))+5.0)/(1-(((MIN(($F3),99))/100))+5.0))))*100))/100))*0.96)),(((((MIN(($F2),99))/100))+5.0)/(1-(((MIN(($F2),99))/100))+5.0))))*100))/100))*0.96)),(((((MIN((F1),99))/100))+5.0)/(1-(((MIN((F1),99))/100))+5.0))))*100),0)</f>
        <v/>
      </c>
      <c r="G1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(20)/100))*0.96)),(((((MIN((F15),99))/100))+5.0)/(1-(((MIN((F15),99))/100))+5.0))))*100))/100))*0.96)),(((((MIN(($E$15),99))/100))+5.0)/(1-(((MIN(($E$15),99))/100))+5.0))))*100))/100))*0.96)),(((((MIN((D15),99))/100))+5.0)/(1-(((MIN((D15),99))/100))+5.0))))*100))/100))*0.96)),(((((MIN(($C$15),99))/100))+5.0)/(1-(((MIN(($C$15),99))/100))+5.0))))*100))/100))*0.96)),(((((MIN(($B$15),99))/100))+5.0)/(1-(((MIN(($B$15),99))/100))+5.0))))*100))/100))*0.96)),(((((MIN((A15),99))/100))+5.0)/(1-(((MIN((A15),99))/100))+5.0))))*100))/100))*0.96)),(((((MIN((G$14),99))/100))+5.0)/(1-(((MIN((G$14),99))/100))+5.0))))*100))/100))*0.96)),(((((MIN(($G13),99))/100))+5.0)/(1-(((MIN(($G13),99))/100))+5.0))))*100))/100))*0.96)),(((((MIN(($G$12),99))/100))+5.0)/(1-(((MIN(($G$12),99))/100))+5.0))))*100))/100))*0.96)),(((((MIN((G11),99))/100))+5.0)/(1-(((MIN((G11),99))/100))+5.0))))*100))/100))*0.96)),(((((MIN((G10),99))/100))+5.0)/(1-(((MIN((G10),99))/100))+5.0))))*100))/100))*0.96)),(((((MIN(($G9),99))/100))+5.0)/(1-(((MIN(($G9),99))/100))+5.0))))*100))/100))*0.96)),(((((MIN(($G$8),99))/100))+5.0)/(1-(((MIN(($G$8),99))/100))+5.0))))*100))/100))*0.96)),(((((MIN(($G7),99))/100))+5.0)/(1-(((MIN(($G7),99))/100))+5.0))))*100))/100))*0.96)),(((((MIN((G$6),99))/100))+5.0)/(1-(((MIN((G$6),99))/100))+5.0))))*100))/100))*0.96)),(((((MIN((G5),99))/100))+5.0)/(1-(((MIN((G5),99))/100))+5.0))))*100))/100))*0.96)),(((((MIN((G4),99))/100))+5.0)/(1-(((MIN((G4),99))/100))+5.0))))*100))/100))*0.96)),(((((MIN(($G3),99))/100))+5.0)/(1-(((MIN(($G3),99))/100))+5.0))))*100))/100))*0.96)),(((((MIN(($G$2),99))/100))+5.0)/(1-(((MIN(($G$2),99))/100))+5.0))))*100))/100))*0.96)),(((((MIN(($G1),99))/100))+5.0)/(1-(((MIN(($G1),99))/100))+5.0))))*100),0)</f>
        <v/>
      </c>
      <c r="H1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(63)/100))*0.96)),(((((MIN((G$15),99))/100))+5.0)/(1-(((MIN((G$15),99))/100))+5.0))))*100))/100))*0.96)),(((((MIN((F$15),99))/100))+5.0)/(1-(((MIN((F$15),99))/100))+5.0))))*100))/100))*0.96)),(((((MIN(($E15),99))/100))+5.0)/(1-(((MIN(($E15),99))/100))+5.0))))*100))/100))*0.96)),(((((MIN((D$15),99))/100))+5.0)/(1-(((MIN((D$15),99))/100))+5.0))))*100))/100))*0.96)),(((((MIN(($C15),99))/100))+5.0)/(1-(((MIN(($C15),99))/100))+5.0))))*100))/100))*0.96)),(((((MIN((B15),99))/100))+5.0)/(1-(((MIN((B15),99))/100))+5.0))))*100))/100))*0.96)),(((((MIN((A15),99))/100))+5.0)/(1-(((MIN((A15),99))/100))+5.0))))*100))/100))*0.96)),(((((MIN((H$14),99))/100))+5.0)/(1-(((MIN((H$14),99))/100))+5.0))))*100))/100))*0.96)),(((((MIN(($H13),99))/100))+5.0)/(1-(((MIN(($H13),99))/100))+5.0))))*100))/100))*0.96)),(((((MIN(($H12),99))/100))+5.0)/(1-(((MIN(($H12),99))/100))+5.0))))*100))/100))*0.96)),(((((MIN((H$11),99))/100))+5.0)/(1-(((MIN((H$11),99))/100))+5.0))))*100))/100))*0.96)),(((((MIN(($H$10),99))/100))+5.0)/(1-(((MIN(($H$10),99))/100))+5.0))))*100))/100))*0.96)),(((((MIN((H9),99))/100))+5.0)/(1-(((MIN((H9),99))/100))+5.0))))*100))/100))*0.96)),(((((MIN((H8),99))/100))+5.0)/(1-(((MIN((H8),99))/100))+5.0))))*100))/100))*0.96)),(((((MIN((H$7),99))/100))+5.0)/(1-(((MIN((H$7),99))/100))+5.0))))*100))/100))*0.96)),(((((MIN(($H6),99))/100))+5.0)/(1-(((MIN(($H6),99))/100))+5.0))))*100))/100))*0.96)),(((((MIN((H$5),99))/100))+5.0)/(1-(((MIN((H$5),99))/100))+5.0))))*100))/100))*0.96)),(((((MIN(($H4),99))/100))+5.0)/(1-(((MIN(($H4),99))/100))+5.0))))*100))/100))*0.96)),(((((MIN(($H3),99))/100))+5.0)/(1-(((MIN(($H3),99))/100))+5.0))))*100))/100))*0.96)),(((((MIN((H2),99))/100))+5.0)/(1-(((MIN((H2),99))/100))+5.0))))*100))/100))*0.96)),(((((MIN((H1),99))/100))+5.0)/(1-(((MIN((H1),99))/100))+5.0))))*100),0)</f>
        <v/>
      </c>
      <c r="I1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(54)/100))*0.96)),(((((MIN(($H$15),99))/100))+5.0)/(1-(((MIN(($H$15),99))/100))+5.0))))*100))/100))*0.96)),(((((MIN(($G15),99))/100))+5.0)/(1-(((MIN(($G15),99))/100))+5.0))))*100))/100))*0.96)),(((((MIN(($F$15),99))/100))+5.0)/(1-(((MIN(($F$15),99))/100))+5.0))))*100))/100))*0.96)),(((((MIN(($E$15),99))/100))+5.0)/(1-(((MIN(($E$15),99))/100))+5.0))))*100))/100))*0.96)),(((((MIN(($D15),99))/100))+5.0)/(1-(((MIN(($D15),99))/100))+5.0))))*100))/100))*0.96)),(((((MIN(($C$15),99))/100))+5.0)/(1-(((MIN(($C$15),99))/100))+5.0))))*100))/100))*0.96)),(((((MIN((B$15),99))/100))+5.0)/(1-(((MIN((B$15),99))/100))+5.0))))*100))/100))*0.96)),(((((MIN((A$15),99))/100))+5.0)/(1-(((MIN((A$15),99))/100))+5.0))))*100))/100))*0.96)),(((((MIN((I14),99))/100))+5.0)/(1-(((MIN((I14),99))/100))+5.0))))*100))/100))*0.96)),(((((MIN((I$13),99))/100))+5.0)/(1-(((MIN((I$13),99))/100))+5.0))))*100))/100))*0.96)),(((((MIN(($I12),99))/100))+5.0)/(1-(((MIN(($I12),99))/100))+5.0))))*100))/100))*0.96)),(((((MIN(($I11),99))/100))+5.0)/(1-(((MIN(($I11),99))/100))+5.0))))*100))/100))*0.96)),(((((MIN((I$10),99))/100))+5.0)/(1-(((MIN((I$10),99))/100))+5.0))))*100))/100))*0.96)),(((((MIN(($I$9),99))/100))+5.0)/(1-(((MIN(($I$9),99))/100))+5.0))))*100))/100))*0.96)),(((((MIN((I$8),99))/100))+5.0)/(1-(((MIN((I$8),99))/100))+5.0))))*100))/100))*0.96)),(((((MIN((I7),99))/100))+5.0)/(1-(((MIN((I7),99))/100))+5.0))))*100))/100))*0.96)),(((((MIN((I6),99))/100))+5.0)/(1-(((MIN((I6),99))/100))+5.0))))*100))/100))*0.96)),(((((MIN((I5),99))/100))+5.0)/(1-(((MIN((I5),99))/100))+5.0))))*100))/100))*0.96)),(((((MIN((I4),99))/100))+5.0)/(1-(((MIN((I4),99))/100))+5.0))))*100))/100))*0.96)),(((((MIN((I$3),99))/100))+5.0)/(1-(((MIN((I$3),99))/100))+5.0))))*100))/100))*0.96)),(((((MIN(($I$2),99))/100))+5.0)/(1-(((MIN(($I$2),99))/100))+5.0))))*100))/100))*0.96)),(((((MIN((I$1),99))/100))+5.0)/(1-(((MIN((I$1),99))/100))+5.0))))*100),0)</f>
        <v/>
      </c>
      <c r="J1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(49)/100))*0.96)),(((((MIN((I15),99))/100))+5.0)/(1-(((MIN((I15),99))/100))+5.0))))*100))/100))*0.96)),(((((MIN((H15),99))/100))+5.0)/(1-(((MIN((H15),99))/100))+5.0))))*100))/100))*0.96)),(((((MIN((G$15),99))/100))+5.0)/(1-(((MIN((G$15),99))/100))+5.0))))*100))/100))*0.96)),(((((MIN(($F$15),99))/100))+5.0)/(1-(((MIN(($F$15),99))/100))+5.0))))*100))/100))*0.96)),(((((MIN((E15),99))/100))+5.0)/(1-(((MIN((E15),99))/100))+5.0))))*100))/100))*0.96)),(((((MIN((D15),99))/100))+5.0)/(1-(((MIN((D15),99))/100))+5.0))))*100))/100))*0.96)),(((((MIN(($C15),99))/100))+5.0)/(1-(((MIN(($C15),99))/100))+5.0))))*100))/100))*0.96)),(((((MIN(($B$15),99))/100))+5.0)/(1-(((MIN(($B$15),99))/100))+5.0))))*100))/100))*0.96)),(((((MIN(($J$14),99))/100))+5.0)/(1-(((MIN(($J$14),99))/100))+5.0))))*100))/100))*0.96)),(((((MIN((J$13),99))/100))+5.0)/(1-(((MIN((J$13),99))/100))+5.0))))*100))/100))*0.96)),(((((MIN((J12),99))/100))+5.0)/(1-(((MIN((J12),99))/100))+5.0))))*100))/100))*0.96)),(((((MIN((J$11),99))/100))+5.0)/(1-(((MIN((J$11),99))/100))+5.0))))*100))/100))*0.96)),(((((MIN(($J$10),99))/100))+5.0)/(1-(((MIN(($J$10),99))/100))+5.0))))*100))/100))*0.96)),(((((MIN((J$9),99))/100))+5.0)/(1-(((MIN((J$9),99))/100))+5.0))))*100))/100))*0.96)),(((((MIN((J$8),99))/100))+5.0)/(1-(((MIN((J$8),99))/100))+5.0))))*100))/100))*0.96)),(((((MIN((J$7),99))/100))+5.0)/(1-(((MIN((J$7),99))/100))+5.0))))*100))/100))*0.96)),(((((MIN(($J$6),99))/100))+5.0)/(1-(((MIN(($J$6),99))/100))+5.0))))*100))/100))*0.96)),(((((MIN((J$5),99))/100))+5.0)/(1-(((MIN((J$5),99))/100))+5.0))))*100))/100))*0.96)),(((((MIN((J$4),99))/100))+5.0)/(1-(((MIN((J$4),99))/100))+5.0))))*100))/100))*0.96)),(((((MIN((J$3),99))/100))+5.0)/(1-(((MIN((J$3),99))/100))+5.0))))*100))/100))*0.96)),(((((MIN((J2),99))/100))+5.0)/(1-(((MIN((J2),99))/100))+5.0))))*100))/100))*0.96)),(((((MIN((J$1),99))/100))+5.0)/(1-(((MIN((J$1),99))/100))+5.0))))*100),0)</f>
        <v/>
      </c>
      <c r="K1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(92)/100))*0.96)),(((((MIN((J$15),99))/100))+5.0)/(1-(((MIN((J$15),99))/100))+5.0))))*100))/100))*0.96)),(((((MIN((I15),99))/100))+5.0)/(1-(((MIN((I15),99))/100))+5.0))))*100))/100))*0.96)),(((((MIN(($H$15),99))/100))+5.0)/(1-(((MIN(($H$15),99))/100))+5.0))))*100))/100))*0.96)),(((((MIN(($G15),99))/100))+5.0)/(1-(((MIN(($G15),99))/100))+5.0))))*100))/100))*0.96)),(((((MIN((F$15),99))/100))+5.0)/(1-(((MIN((F$15),99))/100))+5.0))))*100))/100))*0.96)),(((((MIN((E$15),99))/100))+5.0)/(1-(((MIN((E$15),99))/100))+5.0))))*100))/100))*0.96)),(((((MIN(($D15),99))/100))+5.0)/(1-(((MIN(($D15),99))/100))+5.0))))*100))/100))*0.96)),(((((MIN((C$15),99))/100))+5.0)/(1-(((MIN((C$15),99))/100))+5.0))))*100))/100))*0.96)),(((((MIN(($K$14),99))/100))+5.0)/(1-(((MIN(($K$14),99))/100))+5.0))))*100))/100))*0.96)),(((((MIN(($K$13),99))/100))+5.0)/(1-(((MIN(($K$13),99))/100))+5.0))))*100))/100))*0.96)),(((((MIN((K12),99))/100))+5.0)/(1-(((MIN((K12),99))/100))+5.0))))*100))/100))*0.96)),(((((MIN((K$11),99))/100))+5.0)/(1-(((MIN((K$11),99))/100))+5.0))))*100))/100))*0.96)),(((((MIN((K10),99))/100))+5.0)/(1-(((MIN((K10),99))/100))+5.0))))*100))/100))*0.96)),(((((MIN(($K9),99))/100))+5.0)/(1-(((MIN(($K9),99))/100))+5.0))))*100))/100))*0.96)),(((((MIN((K$8),99))/100))+5.0)/(1-(((MIN((K$8),99))/100))+5.0))))*100))/100))*0.96)),(((((MIN(($K$7),99))/100))+5.0)/(1-(((MIN(($K$7),99))/100))+5.0))))*100))/100))*0.96)),(((((MIN((K$6),99))/100))+5.0)/(1-(((MIN((K$6),99))/100))+5.0))))*100))/100))*0.96)),(((((MIN((K5),99))/100))+5.0)/(1-(((MIN((K5),99))/100))+5.0))))*100))/100))*0.96)),(((((MIN((K$4),99))/100))+5.0)/(1-(((MIN((K$4),99))/100))+5.0))))*100))/100))*0.96)),(((((MIN((K$3),99))/100))+5.0)/(1-(((MIN((K$3),99))/100))+5.0))))*100))/100))*0.96)),(((((MIN(($K2),99))/100))+5.0)/(1-(((MIN(($K2),99))/100))+5.0))))*100))/100))*0.96)),(((((MIN(($K$1),99))/100))+5.0)/(1-(((MIN(($K$1),99))/100))+5.0))))*100),0)</f>
        <v/>
      </c>
      <c r="L1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(9)/100))*0.96)),(((((MIN(($K$15),99))/100))+5.0)/(1-(((MIN(($K$15),99))/100))+5.0))))*100))/100))*0.96)),(((((MIN((J15),99))/100))+5.0)/(1-(((MIN((J15),99))/100))+5.0))))*100))/100))*0.96)),(((((MIN(($I15),99))/100))+5.0)/(1-(((MIN(($I15),99))/100))+5.0))))*100))/100))*0.96)),(((((MIN(($H15),99))/100))+5.0)/(1-(((MIN(($H15),99))/100))+5.0))))*100))/100))*0.96)),(((((MIN(($G15),99))/100))+5.0)/(1-(((MIN(($G15),99))/100))+5.0))))*100))/100))*0.96)),(((((MIN(($F$15),99))/100))+5.0)/(1-(((MIN(($F$15),99))/100))+5.0))))*100))/100))*0.96)),(((((MIN(($E15),99))/100))+5.0)/(1-(((MIN(($E15),99))/100))+5.0))))*100))/100))*0.96)),(((((MIN(($D$15),99))/100))+5.0)/(1-(((MIN(($D$15),99))/100))+5.0))))*100))/100))*0.96)),(((((MIN(($L$14),99))/100))+5.0)/(1-(((MIN(($L$14),99))/100))+5.0))))*100))/100))*0.96)),(((((MIN((L13),99))/100))+5.0)/(1-(((MIN((L13),99))/100))+5.0))))*100))/100))*0.96)),(((((MIN(($L12),99))/100))+5.0)/(1-(((MIN(($L12),99))/100))+5.0))))*100))/100))*0.96)),(((((MIN(($L$11),99))/100))+5.0)/(1-(((MIN(($L$11),99))/100))+5.0))))*100))/100))*0.96)),(((((MIN(($L10),99))/100))+5.0)/(1-(((MIN(($L10),99))/100))+5.0))))*100))/100))*0.96)),(((((MIN((L$9),99))/100))+5.0)/(1-(((MIN((L$9),99))/100))+5.0))))*100))/100))*0.96)),(((((MIN((L$8),99))/100))+5.0)/(1-(((MIN((L$8),99))/100))+5.0))))*100))/100))*0.96)),(((((MIN((L$7),99))/100))+5.0)/(1-(((MIN((L$7),99))/100))+5.0))))*100))/100))*0.96)),(((((MIN((L6),99))/100))+5.0)/(1-(((MIN((L6),99))/100))+5.0))))*100))/100))*0.96)),(((((MIN(($L5),99))/100))+5.0)/(1-(((MIN(($L5),99))/100))+5.0))))*100))/100))*0.96)),(((((MIN((L$4),99))/100))+5.0)/(1-(((MIN((L$4),99))/100))+5.0))))*100))/100))*0.96)),(((((MIN((L3),99))/100))+5.0)/(1-(((MIN((L3),99))/100))+5.0))))*100))/100))*0.96)),(((((MIN(($L2),99))/100))+5.0)/(1-(((MIN(($L2),99))/100))+5.0))))*100))/100))*0.96)),(((((MIN(($L$1),99))/100))+5.0)/(1-(((MIN(($L$1),99))/100))+5.0))))*100),0)</f>
        <v/>
      </c>
      <c r="M1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(12)/100))*0.96)),(((((MIN(($L$15),99))/100))+5.0)/(1-(((MIN(($L$15),99))/100))+5.0))))*100))/100))*0.96)),(((((MIN(($K$15),99))/100))+5.0)/(1-(((MIN(($K$15),99))/100))+5.0))))*100))/100))*0.96)),(((((MIN(($J15),99))/100))+5.0)/(1-(((MIN(($J15),99))/100))+5.0))))*100))/100))*0.96)),(((((MIN(($I15),99))/100))+5.0)/(1-(((MIN(($I15),99))/100))+5.0))))*100))/100))*0.96)),(((((MIN((H$15),99))/100))+5.0)/(1-(((MIN((H$15),99))/100))+5.0))))*100))/100))*0.96)),(((((MIN((G$15),99))/100))+5.0)/(1-(((MIN((G$15),99))/100))+5.0))))*100))/100))*0.96)),(((((MIN(($F$15),99))/100))+5.0)/(1-(((MIN(($F$15),99))/100))+5.0))))*100))/100))*0.96)),(((((MIN(($E$15),99))/100))+5.0)/(1-(((MIN(($E$15),99))/100))+5.0))))*100))/100))*0.96)),(((((MIN((M$14),99))/100))+5.0)/(1-(((MIN((M$14),99))/100))+5.0))))*100))/100))*0.96)),(((((MIN((M13),99))/100))+5.0)/(1-(((MIN((M13),99))/100))+5.0))))*100))/100))*0.96)),(((((MIN(($M$12),99))/100))+5.0)/(1-(((MIN(($M$12),99))/100))+5.0))))*100))/100))*0.96)),(((((MIN(($M11),99))/100))+5.0)/(1-(((MIN(($M11),99))/100))+5.0))))*100))/100))*0.96)),(((((MIN((M$10),99))/100))+5.0)/(1-(((MIN((M$10),99))/100))+5.0))))*100))/100))*0.96)),(((((MIN(($M9),99))/100))+5.0)/(1-(((MIN(($M9),99))/100))+5.0))))*100))/100))*0.96)),(((((MIN((M$8),99))/100))+5.0)/(1-(((MIN((M$8),99))/100))+5.0))))*100))/100))*0.96)),(((((MIN((M$7),99))/100))+5.0)/(1-(((MIN((M$7),99))/100))+5.0))))*100))/100))*0.96)),(((((MIN(($M$6),99))/100))+5.0)/(1-(((MIN(($M$6),99))/100))+5.0))))*100))/100))*0.96)),(((((MIN((M5),99))/100))+5.0)/(1-(((MIN((M5),99))/100))+5.0))))*100))/100))*0.96)),(((((MIN(($M4),99))/100))+5.0)/(1-(((MIN(($M4),99))/100))+5.0))))*100))/100))*0.96)),(((((MIN((M$3),99))/100))+5.0)/(1-(((MIN((M$3),99))/100))+5.0))))*100))/100))*0.96)),(((((MIN((M$2),99))/100))+5.0)/(1-(((MIN((M$2),99))/100))+5.0))))*100))/100))*0.96)),(((((MIN((M1),99))/100))+5.0)/(1-(((MIN((M1),99))/100))+5.0))))*100),0)</f>
        <v/>
      </c>
      <c r="N1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(71)/100))*0.96)),(((((MIN(($M15),99))/100))+5.0)/(1-(((MIN(($M15),99))/100))+5.0))))*100))/100))*0.96)),(((((MIN(($L$15),99))/100))+5.0)/(1-(((MIN(($L$15),99))/100))+5.0))))*100))/100))*0.96)),(((((MIN(($K15),99))/100))+5.0)/(1-(((MIN(($K15),99))/100))+5.0))))*100))/100))*0.96)),(((((MIN(($J15),99))/100))+5.0)/(1-(((MIN(($J15),99))/100))+5.0))))*100))/100))*0.96)),(((((MIN(($I15),99))/100))+5.0)/(1-(((MIN(($I15),99))/100))+5.0))))*100))/100))*0.96)),(((((MIN(($H15),99))/100))+5.0)/(1-(((MIN(($H15),99))/100))+5.0))))*100))/100))*0.96)),(((((MIN((G15),99))/100))+5.0)/(1-(((MIN((G15),99))/100))+5.0))))*100))/100))*0.96)),(((((MIN((F15),99))/100))+5.0)/(1-(((MIN((F15),99))/100))+5.0))))*100))/100))*0.96)),(((((MIN((N14),99))/100))+5.0)/(1-(((MIN((N14),99))/100))+5.0))))*100))/100))*0.96)),(((((MIN((N13),99))/100))+5.0)/(1-(((MIN((N13),99))/100))+5.0))))*100))/100))*0.96)),(((((MIN(($N12),99))/100))+5.0)/(1-(((MIN(($N12),99))/100))+5.0))))*100))/100))*0.96)),(((((MIN((N11),99))/100))+5.0)/(1-(((MIN((N11),99))/100))+5.0))))*100))/100))*0.96)),(((((MIN(($N10),99))/100))+5.0)/(1-(((MIN(($N10),99))/100))+5.0))))*100))/100))*0.96)),(((((MIN(($N9),99))/100))+5.0)/(1-(((MIN(($N9),99))/100))+5.0))))*100))/100))*0.96)),(((((MIN(($N8),99))/100))+5.0)/(1-(((MIN(($N8),99))/100))+5.0))))*100))/100))*0.96)),(((((MIN(($N7),99))/100))+5.0)/(1-(((MIN(($N7),99))/100))+5.0))))*100))/100))*0.96)),(((((MIN(($N6),99))/100))+5.0)/(1-(((MIN(($N6),99))/100))+5.0))))*100))/100))*0.96)),(((((MIN((N5),99))/100))+5.0)/(1-(((MIN((N5),99))/100))+5.0))))*100))/100))*0.96)),(((((MIN(($N$4),99))/100))+5.0)/(1-(((MIN(($N$4),99))/100))+5.0))))*100))/100))*0.96)),(((((MIN(($N3),99))/100))+5.0)/(1-(((MIN(($N3),99))/100))+5.0))))*100))/100))*0.96)),(((((MIN((N$2),99))/100))+5.0)/(1-(((MIN((N$2),99))/100))+5.0))))*100))/100))*0.96)),(((((MIN(($N$1),99))/100))+5.0)/(1-(((MIN(($N$1),99))/100))+5.0))))*100),0)</f>
        <v/>
      </c>
      <c r="O1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(49)/100))*0.96)),(((((MIN(($N$15),99))/100))+5.0)/(1-(((MIN(($N$15),99))/100))+5.0))))*100))/100))*0.96)),(((((MIN(($M$15),99))/100))+5.0)/(1-(((MIN(($M$15),99))/100))+5.0))))*100))/100))*0.96)),(((((MIN(($L15),99))/100))+5.0)/(1-(((MIN(($L15),99))/100))+5.0))))*100))/100))*0.96)),(((((MIN((K15),99))/100))+5.0)/(1-(((MIN((K15),99))/100))+5.0))))*100))/100))*0.96)),(((((MIN((J15),99))/100))+5.0)/(1-(((MIN((J15),99))/100))+5.0))))*100))/100))*0.96)),(((((MIN((I$15),99))/100))+5.0)/(1-(((MIN((I$15),99))/100))+5.0))))*100))/100))*0.96)),(((((MIN((H$15),99))/100))+5.0)/(1-(((MIN((H$15),99))/100))+5.0))))*100))/100))*0.96)),(((((MIN((G15),99))/100))+5.0)/(1-(((MIN((G15),99))/100))+5.0))))*100))/100))*0.96)),(((((MIN(($O14),99))/100))+5.0)/(1-(((MIN(($O14),99))/100))+5.0))))*100))/100))*0.96)),(((((MIN((O13),99))/100))+5.0)/(1-(((MIN((O13),99))/100))+5.0))))*100))/100))*0.96)),(((((MIN((O12),99))/100))+5.0)/(1-(((MIN((O12),99))/100))+5.0))))*100))/100))*0.96)),(((((MIN(($O11),99))/100))+5.0)/(1-(((MIN(($O11),99))/100))+5.0))))*100))/100))*0.96)),(((((MIN(($O$10),99))/100))+5.0)/(1-(((MIN(($O$10),99))/100))+5.0))))*100))/100))*0.96)),(((((MIN(($O$9),99))/100))+5.0)/(1-(((MIN(($O$9),99))/100))+5.0))))*100))/100))*0.96)),(((((MIN((O$8),99))/100))+5.0)/(1-(((MIN((O$8),99))/100))+5.0))))*100))/100))*0.96)),(((((MIN(($O7),99))/100))+5.0)/(1-(((MIN(($O7),99))/100))+5.0))))*100))/100))*0.96)),(((((MIN((O6),99))/100))+5.0)/(1-(((MIN((O6),99))/100))+5.0))))*100))/100))*0.96)),(((((MIN(($O5),99))/100))+5.0)/(1-(((MIN(($O5),99))/100))+5.0))))*100))/100))*0.96)),(((((MIN(($O4),99))/100))+5.0)/(1-(((MIN(($O4),99))/100))+5.0))))*100))/100))*0.96)),(((((MIN(($O$3),99))/100))+5.0)/(1-(((MIN(($O$3),99))/100))+5.0))))*100))/100))*0.96)),(((((MIN((O$2),99))/100))+5.0)/(1-(((MIN((O$2),99))/100))+5.0))))*100))/100))*0.96)),(((((MIN((O$1),99))/100))+5.0)/(1-(((MIN((O$1),99))/100))+5.0))))*100),0)</f>
        <v/>
      </c>
      <c r="P1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(28)/100))*0.96)),(((((MIN((O15),99))/100))+5.0)/(1-(((MIN((O15),99))/100))+5.0))))*100))/100))*0.96)),(((((MIN((N$15),99))/100))+5.0)/(1-(((MIN((N$15),99))/100))+5.0))))*100))/100))*0.96)),(((((MIN(($M$15),99))/100))+5.0)/(1-(((MIN(($M$15),99))/100))+5.0))))*100))/100))*0.96)),(((((MIN((L$15),99))/100))+5.0)/(1-(((MIN((L$15),99))/100))+5.0))))*100))/100))*0.96)),(((((MIN(($K15),99))/100))+5.0)/(1-(((MIN(($K15),99))/100))+5.0))))*100))/100))*0.96)),(((((MIN((J15),99))/100))+5.0)/(1-(((MIN((J15),99))/100))+5.0))))*100))/100))*0.96)),(((((MIN(($I15),99))/100))+5.0)/(1-(((MIN(($I15),99))/100))+5.0))))*100))/100))*0.96)),(((((MIN(($H$15),99))/100))+5.0)/(1-(((MIN(($H$15),99))/100))+5.0))))*100))/100))*0.96)),(((((MIN((P14),99))/100))+5.0)/(1-(((MIN((P14),99))/100))+5.0))))*100))/100))*0.96)),(((((MIN((P$13),99))/100))+5.0)/(1-(((MIN((P$13),99))/100))+5.0))))*100))/100))*0.96)),(((((MIN(($P$12),99))/100))+5.0)/(1-(((MIN(($P$12),99))/100))+5.0))))*100))/100))*0.96)),(((((MIN(($P$11),99))/100))+5.0)/(1-(((MIN(($P$11),99))/100))+5.0))))*100))/100))*0.96)),(((((MIN(($P$10),99))/100))+5.0)/(1-(((MIN(($P$10),99))/100))+5.0))))*100))/100))*0.96)),(((((MIN((P9),99))/100))+5.0)/(1-(((MIN((P9),99))/100))+5.0))))*100))/100))*0.96)),(((((MIN(($P8),99))/100))+5.0)/(1-(((MIN(($P8),99))/100))+5.0))))*100))/100))*0.96)),(((((MIN((P7),99))/100))+5.0)/(1-(((MIN((P7),99))/100))+5.0))))*100))/100))*0.96)),(((((MIN((P$6),99))/100))+5.0)/(1-(((MIN((P$6),99))/100))+5.0))))*100))/100))*0.96)),(((((MIN(($P5),99))/100))+5.0)/(1-(((MIN(($P5),99))/100))+5.0))))*100))/100))*0.96)),(((((MIN((P$4),99))/100))+5.0)/(1-(((MIN((P$4),99))/100))+5.0))))*100))/100))*0.96)),(((((MIN(($P3),99))/100))+5.0)/(1-(((MIN(($P3),99))/100))+5.0))))*100))/100))*0.96)),(((((MIN((P$2),99))/100))+5.0)/(1-(((MIN((P$2),99))/100))+5.0))))*100))/100))*0.96)),(((((MIN((P$1),99))/100))+5.0)/(1-(((MIN((P$1),99))/100))+5.0))))*100),0)</f>
        <v/>
      </c>
      <c r="Q1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(39)/100))*0.96)),(((((MIN((P15),99))/100))+5.0)/(1-(((MIN((P15),99))/100))+5.0))))*100))/100))*0.96)),(((((MIN((O$15),99))/100))+5.0)/(1-(((MIN((O$15),99))/100))+5.0))))*100))/100))*0.96)),(((((MIN((N$15),99))/100))+5.0)/(1-(((MIN((N$15),99))/100))+5.0))))*100))/100))*0.96)),(((((MIN(($M15),99))/100))+5.0)/(1-(((MIN(($M15),99))/100))+5.0))))*100))/100))*0.96)),(((((MIN((L15),99))/100))+5.0)/(1-(((MIN((L15),99))/100))+5.0))))*100))/100))*0.96)),(((((MIN((K15),99))/100))+5.0)/(1-(((MIN((K15),99))/100))+5.0))))*100))/100))*0.96)),(((((MIN((J$15),99))/100))+5.0)/(1-(((MIN((J$15),99))/100))+5.0))))*100))/100))*0.96)),(((((MIN(($I15),99))/100))+5.0)/(1-(((MIN(($I15),99))/100))+5.0))))*100))/100))*0.96)),(((((MIN(($Q14),99))/100))+5.0)/(1-(((MIN(($Q14),99))/100))+5.0))))*100))/100))*0.96)),(((((MIN(($Q$13),99))/100))+5.0)/(1-(((MIN(($Q$13),99))/100))+5.0))))*100))/100))*0.96)),(((((MIN(($Q$12),99))/100))+5.0)/(1-(((MIN(($Q$12),99))/100))+5.0))))*100))/100))*0.96)),(((((MIN((Q11),99))/100))+5.0)/(1-(((MIN((Q11),99))/100))+5.0))))*100))/100))*0.96)),(((((MIN(($Q10),99))/100))+5.0)/(1-(((MIN(($Q10),99))/100))+5.0))))*100))/100))*0.96)),(((((MIN((Q$9),99))/100))+5.0)/(1-(((MIN((Q$9),99))/100))+5.0))))*100))/100))*0.96)),(((((MIN(($Q8),99))/100))+5.0)/(1-(((MIN(($Q8),99))/100))+5.0))))*100))/100))*0.96)),(((((MIN((Q$7),99))/100))+5.0)/(1-(((MIN((Q$7),99))/100))+5.0))))*100))/100))*0.96)),(((((MIN((Q6),99))/100))+5.0)/(1-(((MIN((Q6),99))/100))+5.0))))*100))/100))*0.96)),(((((MIN(($Q$5),99))/100))+5.0)/(1-(((MIN(($Q$5),99))/100))+5.0))))*100))/100))*0.96)),(((((MIN((Q$4),99))/100))+5.0)/(1-(((MIN((Q$4),99))/100))+5.0))))*100))/100))*0.96)),(((((MIN((Q3),99))/100))+5.0)/(1-(((MIN((Q3),99))/100))+5.0))))*100))/100))*0.96)),(((((MIN((Q2),99))/100))+5.0)/(1-(((MIN((Q2),99))/100))+5.0))))*100))/100))*0.96)),(((((MIN((Q1),99))/100))+5.0)/(1-(((MIN((Q1),99))/100))+5.0))))*100),0)</f>
        <v/>
      </c>
      <c r="R1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(65)/100))*0.96)),(((((MIN(($Q15),99))/100))+5.0)/(1-(((MIN(($Q15),99))/100))+5.0))))*100))/100))*0.96)),(((((MIN((P$15),99))/100))+5.0)/(1-(((MIN((P$15),99))/100))+5.0))))*100))/100))*0.96)),(((((MIN(($O$15),99))/100))+5.0)/(1-(((MIN(($O$15),99))/100))+5.0))))*100))/100))*0.96)),(((((MIN((N$15),99))/100))+5.0)/(1-(((MIN((N$15),99))/100))+5.0))))*100))/100))*0.96)),(((((MIN(($M$15),99))/100))+5.0)/(1-(((MIN(($M$15),99))/100))+5.0))))*100))/100))*0.96)),(((((MIN(($L15),99))/100))+5.0)/(1-(((MIN(($L15),99))/100))+5.0))))*100))/100))*0.96)),(((((MIN(($K15),99))/100))+5.0)/(1-(((MIN(($K15),99))/100))+5.0))))*100))/100))*0.96)),(((((MIN((J$15),99))/100))+5.0)/(1-(((MIN((J$15),99))/100))+5.0))))*100))/100))*0.96)),(((((MIN((R14),99))/100))+5.0)/(1-(((MIN((R14),99))/100))+5.0))))*100))/100))*0.96)),(((((MIN(($R13),99))/100))+5.0)/(1-(((MIN(($R13),99))/100))+5.0))))*100))/100))*0.96)),(((((MIN((R$12),99))/100))+5.0)/(1-(((MIN((R$12),99))/100))+5.0))))*100))/100))*0.96)),(((((MIN(($R$11),99))/100))+5.0)/(1-(((MIN(($R$11),99))/100))+5.0))))*100))/100))*0.96)),(((((MIN(($R10),99))/100))+5.0)/(1-(((MIN(($R10),99))/100))+5.0))))*100))/100))*0.96)),(((((MIN(($R$9),99))/100))+5.0)/(1-(((MIN(($R$9),99))/100))+5.0))))*100))/100))*0.96)),(((((MIN((R8),99))/100))+5.0)/(1-(((MIN((R8),99))/100))+5.0))))*100))/100))*0.96)),(((((MIN(($R7),99))/100))+5.0)/(1-(((MIN(($R7),99))/100))+5.0))))*100))/100))*0.96)),(((((MIN(($R6),99))/100))+5.0)/(1-(((MIN(($R6),99))/100))+5.0))))*100))/100))*0.96)),(((((MIN(($R5),99))/100))+5.0)/(1-(((MIN(($R5),99))/100))+5.0))))*100))/100))*0.96)),(((((MIN((R4),99))/100))+5.0)/(1-(((MIN((R4),99))/100))+5.0))))*100))/100))*0.96)),(((((MIN((R$3),99))/100))+5.0)/(1-(((MIN((R$3),99))/100))+5.0))))*100))/100))*0.96)),(((((MIN((R$2),99))/100))+5.0)/(1-(((MIN((R$2),99))/100))+5.0))))*100))/100))*0.96)),(((((MIN(($R$1),99))/100))+5.0)/(1-(((MIN(($R$1),99))/100))+5.0))))*100),0)</f>
        <v/>
      </c>
      <c r="S1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(76)/100))*0.96)),(((((MIN(($R15),99))/100))+5.0)/(1-(((MIN(($R15),99))/100))+5.0))))*100))/100))*0.96)),(((((MIN(($Q$15),99))/100))+5.0)/(1-(((MIN(($Q$15),99))/100))+5.0))))*100))/100))*0.96)),(((((MIN((P15),99))/100))+5.0)/(1-(((MIN((P15),99))/100))+5.0))))*100))/100))*0.96)),(((((MIN((O$15),99))/100))+5.0)/(1-(((MIN((O$15),99))/100))+5.0))))*100))/100))*0.96)),(((((MIN(($N$15),99))/100))+5.0)/(1-(((MIN(($N$15),99))/100))+5.0))))*100))/100))*0.96)),(((((MIN(($M$15),99))/100))+5.0)/(1-(((MIN(($M$15),99))/100))+5.0))))*100))/100))*0.96)),(((((MIN((L15),99))/100))+5.0)/(1-(((MIN((L15),99))/100))+5.0))))*100))/100))*0.96)),(((((MIN(($K$15),99))/100))+5.0)/(1-(((MIN(($K$15),99))/100))+5.0))))*100))/100))*0.96)),(((((MIN((S14),99))/100))+5.0)/(1-(((MIN((S14),99))/100))+5.0))))*100))/100))*0.96)),(((((MIN(($S$13),99))/100))+5.0)/(1-(((MIN(($S$13),99))/100))+5.0))))*100))/100))*0.96)),(((((MIN(($S$12),99))/100))+5.0)/(1-(((MIN(($S$12),99))/100))+5.0))))*100))/100))*0.96)),(((((MIN(($S$11),99))/100))+5.0)/(1-(((MIN(($S$11),99))/100))+5.0))))*100))/100))*0.96)),(((((MIN((S10),99))/100))+5.0)/(1-(((MIN((S10),99))/100))+5.0))))*100))/100))*0.96)),(((((MIN(($S$9),99))/100))+5.0)/(1-(((MIN(($S$9),99))/100))+5.0))))*100))/100))*0.96)),(((((MIN(($S8),99))/100))+5.0)/(1-(((MIN(($S8),99))/100))+5.0))))*100))/100))*0.96)),(((((MIN((S$7),99))/100))+5.0)/(1-(((MIN((S$7),99))/100))+5.0))))*100))/100))*0.96)),(((((MIN((S6),99))/100))+5.0)/(1-(((MIN((S6),99))/100))+5.0))))*100))/100))*0.96)),(((((MIN(($S$5),99))/100))+5.0)/(1-(((MIN(($S$5),99))/100))+5.0))))*100))/100))*0.96)),(((((MIN((S4),99))/100))+5.0)/(1-(((MIN((S4),99))/100))+5.0))))*100))/100))*0.96)),(((((MIN((S$3),99))/100))+5.0)/(1-(((MIN((S$3),99))/100))+5.0))))*100))/100))*0.96)),(((((MIN(($S2),99))/100))+5.0)/(1-(((MIN(($S2),99))/100))+5.0))))*100))/100))*0.96)),(((((MIN(($S1),99))/100))+5.0)/(1-(((MIN(($S1),99))/100))+5.0))))*100),0)</f>
        <v/>
      </c>
      <c r="T1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(45)/100))*0.96)),(((((MIN((S15),99))/100))+5.0)/(1-(((MIN((S15),99))/100))+5.0))))*100))/100))*0.96)),(((((MIN((R$15),99))/100))+5.0)/(1-(((MIN((R$15),99))/100))+5.0))))*100))/100))*0.96)),(((((MIN(($Q15),99))/100))+5.0)/(1-(((MIN(($Q15),99))/100))+5.0))))*100))/100))*0.96)),(((((MIN(($P$15),99))/100))+5.0)/(1-(((MIN(($P$15),99))/100))+5.0))))*100))/100))*0.96)),(((((MIN((O$15),99))/100))+5.0)/(1-(((MIN((O$15),99))/100))+5.0))))*100))/100))*0.96)),(((((MIN(($N$15),99))/100))+5.0)/(1-(((MIN(($N$15),99))/100))+5.0))))*100))/100))*0.96)),(((((MIN((M15),99))/100))+5.0)/(1-(((MIN((M15),99))/100))+5.0))))*100))/100))*0.96)),(((((MIN(($L15),99))/100))+5.0)/(1-(((MIN(($L15),99))/100))+5.0))))*100))/100))*0.96)),(((((MIN((T$14),99))/100))+5.0)/(1-(((MIN((T$14),99))/100))+5.0))))*100))/100))*0.96)),(((((MIN((T$13),99))/100))+5.0)/(1-(((MIN((T$13),99))/100))+5.0))))*100))/100))*0.96)),(((((MIN((T12),99))/100))+5.0)/(1-(((MIN((T12),99))/100))+5.0))))*100))/100))*0.96)),(((((MIN((T$11),99))/100))+5.0)/(1-(((MIN((T$11),99))/100))+5.0))))*100))/100))*0.96)),(((((MIN((T$10),99))/100))+5.0)/(1-(((MIN((T$10),99))/100))+5.0))))*100))/100))*0.96)),(((((MIN(($T$9),99))/100))+5.0)/(1-(((MIN(($T$9),99))/100))+5.0))))*100))/100))*0.96)),(((((MIN((T$8),99))/100))+5.0)/(1-(((MIN((T$8),99))/100))+5.0))))*100))/100))*0.96)),(((((MIN((T7),99))/100))+5.0)/(1-(((MIN((T7),99))/100))+5.0))))*100))/100))*0.96)),(((((MIN(($T6),99))/100))+5.0)/(1-(((MIN(($T6),99))/100))+5.0))))*100))/100))*0.96)),(((((MIN((T$5),99))/100))+5.0)/(1-(((MIN((T$5),99))/100))+5.0))))*100))/100))*0.96)),(((((MIN(($T$4),99))/100))+5.0)/(1-(((MIN(($T$4),99))/100))+5.0))))*100))/100))*0.96)),(((((MIN((T$3),99))/100))+5.0)/(1-(((MIN((T$3),99))/100))+5.0))))*100))/100))*0.96)),(((((MIN((T$2),99))/100))+5.0)/(1-(((MIN((T$2),99))/100))+5.0))))*100))/100))*0.96)),(((((MIN((T1),99))/100))+5.0)/(1-(((MIN((T1),99))/100))+5.0))))*100),0)</f>
        <v/>
      </c>
    </row>
    <row r="16">
      <c r="A1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(22)/100))*0.96)),(((((MIN(($A$15),99))/100))+5.0)/(1-(((MIN(($A$15),99))/100))+5.0))))*100))/100))*0.96)),(((((MIN(($A14),99))/100))+5.0)/(1-(((MIN(($A14),99))/100))+5.0))))*100))/100))*0.96)),(((((MIN(($A$13),99))/100))+5.0)/(1-(((MIN(($A$13),99))/100))+5.0))))*100))/100))*0.96)),(((((MIN(($A12),99))/100))+5.0)/(1-(((MIN(($A12),99))/100))+5.0))))*100))/100))*0.96)),(((((MIN(($A11),99))/100))+5.0)/(1-(((MIN(($A11),99))/100))+5.0))))*100))/100))*0.96)),(((((MIN(($A$10),99))/100))+5.0)/(1-(((MIN(($A$10),99))/100))+5.0))))*100))/100))*0.96)),(((((MIN((A$9),99))/100))+5.0)/(1-(((MIN((A$9),99))/100))+5.0))))*100))/100))*0.96)),(((((MIN((A8),99))/100))+5.0)/(1-(((MIN((A8),99))/100))+5.0))))*100))/100))*0.96)),(((((MIN((A$7),99))/100))+5.0)/(1-(((MIN((A$7),99))/100))+5.0))))*100))/100))*0.96)),(((((MIN((A6),99))/100))+5.0)/(1-(((MIN((A6),99))/100))+5.0))))*100))/100))*0.96)),(((((MIN((A$5),99))/100))+5.0)/(1-(((MIN((A$5),99))/100))+5.0))))*100))/100))*0.96)),(((((MIN((A4),99))/100))+5.0)/(1-(((MIN((A4),99))/100))+5.0))))*100))/100))*0.96)),(((((MIN((A$3),99))/100))+5.0)/(1-(((MIN((A$3),99))/100))+5.0))))*100))/100))*0.96)),(((((MIN(($A$2),99))/100))+5.0)/(1-(((MIN(($A$2),99))/100))+5.0))))*100))/100))*0.96)),(((((MIN((A$1),99))/100))+5.0)/(1-(((MIN((A$1),99))/100))+5.0))))*100),0)</f>
        <v/>
      </c>
      <c r="B1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(13)/100))*0.96)),(((((MIN((A$16),99))/100))+5.0)/(1-(((MIN((A$16),99))/100))+5.0))))*100))/100))*0.96)),(((((MIN(($B$15),99))/100))+5.0)/(1-(((MIN(($B$15),99))/100))+5.0))))*100))/100))*0.96)),(((((MIN(($B$14),99))/100))+5.0)/(1-(((MIN(($B$14),99))/100))+5.0))))*100))/100))*0.96)),(((((MIN(($B$13),99))/100))+5.0)/(1-(((MIN(($B$13),99))/100))+5.0))))*100))/100))*0.96)),(((((MIN((B$12),99))/100))+5.0)/(1-(((MIN((B$12),99))/100))+5.0))))*100))/100))*0.96)),(((((MIN((B11),99))/100))+5.0)/(1-(((MIN((B11),99))/100))+5.0))))*100))/100))*0.96)),(((((MIN((B10),99))/100))+5.0)/(1-(((MIN((B10),99))/100))+5.0))))*100))/100))*0.96)),(((((MIN((B$9),99))/100))+5.0)/(1-(((MIN((B$9),99))/100))+5.0))))*100))/100))*0.96)),(((((MIN(($B8),99))/100))+5.0)/(1-(((MIN(($B8),99))/100))+5.0))))*100))/100))*0.96)),(((((MIN(($B7),99))/100))+5.0)/(1-(((MIN(($B7),99))/100))+5.0))))*100))/100))*0.96)),(((((MIN((B6),99))/100))+5.0)/(1-(((MIN((B6),99))/100))+5.0))))*100))/100))*0.96)),(((((MIN(($B5),99))/100))+5.0)/(1-(((MIN(($B5),99))/100))+5.0))))*100))/100))*0.96)),(((((MIN(($B$4),99))/100))+5.0)/(1-(((MIN(($B$4),99))/100))+5.0))))*100))/100))*0.96)),(((((MIN(($B3),99))/100))+5.0)/(1-(((MIN(($B3),99))/100))+5.0))))*100))/100))*0.96)),(((((MIN(($B2),99))/100))+5.0)/(1-(((MIN(($B2),99))/100))+5.0))))*100))/100))*0.96)),(((((MIN((B$1),99))/100))+5.0)/(1-(((MIN((B$1),99))/100))+5.0))))*100),0)</f>
        <v/>
      </c>
      <c r="C1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(90)/100))*0.96)),(((((MIN(($B$16),99))/100))+5.0)/(1-(((MIN(($B$16),99))/100))+5.0))))*100))/100))*0.96)),(((((MIN((A16),99))/100))+5.0)/(1-(((MIN((A16),99))/100))+5.0))))*100))/100))*0.96)),(((((MIN(($C15),99))/100))+5.0)/(1-(((MIN(($C15),99))/100))+5.0))))*100))/100))*0.96)),(((((MIN((C14),99))/100))+5.0)/(1-(((MIN((C14),99))/100))+5.0))))*100))/100))*0.96)),(((((MIN(($C$13),99))/100))+5.0)/(1-(((MIN(($C$13),99))/100))+5.0))))*100))/100))*0.96)),(((((MIN((C$12),99))/100))+5.0)/(1-(((MIN((C$12),99))/100))+5.0))))*100))/100))*0.96)),(((((MIN(($C$11),99))/100))+5.0)/(1-(((MIN(($C$11),99))/100))+5.0))))*100))/100))*0.96)),(((((MIN(($C$10),99))/100))+5.0)/(1-(((MIN(($C$10),99))/100))+5.0))))*100))/100))*0.96)),(((((MIN((C$9),99))/100))+5.0)/(1-(((MIN((C$9),99))/100))+5.0))))*100))/100))*0.96)),(((((MIN(($C8),99))/100))+5.0)/(1-(((MIN(($C8),99))/100))+5.0))))*100))/100))*0.96)),(((((MIN((C7),99))/100))+5.0)/(1-(((MIN((C7),99))/100))+5.0))))*100))/100))*0.96)),(((((MIN((C$6),99))/100))+5.0)/(1-(((MIN((C$6),99))/100))+5.0))))*100))/100))*0.96)),(((((MIN((C5),99))/100))+5.0)/(1-(((MIN((C5),99))/100))+5.0))))*100))/100))*0.96)),(((((MIN((C4),99))/100))+5.0)/(1-(((MIN((C4),99))/100))+5.0))))*100))/100))*0.96)),(((((MIN((C$3),99))/100))+5.0)/(1-(((MIN((C$3),99))/100))+5.0))))*100))/100))*0.96)),(((((MIN((C2),99))/100))+5.0)/(1-(((MIN((C2),99))/100))+5.0))))*100))/100))*0.96)),(((((MIN((C$1),99))/100))+5.0)/(1-(((MIN((C$1),99))/100))+5.0))))*100),0)</f>
        <v/>
      </c>
      <c r="D1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(35)/100))*0.96)),(((((MIN((C16),99))/100))+5.0)/(1-(((MIN((C16),99))/100))+5.0))))*100))/100))*0.96)),(((((MIN(($B$16),99))/100))+5.0)/(1-(((MIN(($B$16),99))/100))+5.0))))*100))/100))*0.96)),(((((MIN((A$16),99))/100))+5.0)/(1-(((MIN((A$16),99))/100))+5.0))))*100))/100))*0.96)),(((((MIN(($D$15),99))/100))+5.0)/(1-(((MIN(($D$15),99))/100))+5.0))))*100))/100))*0.96)),(((((MIN((D$14),99))/100))+5.0)/(1-(((MIN((D$14),99))/100))+5.0))))*100))/100))*0.96)),(((((MIN((D13),99))/100))+5.0)/(1-(((MIN((D13),99))/100))+5.0))))*100))/100))*0.96)),(((((MIN((D12),99))/100))+5.0)/(1-(((MIN((D12),99))/100))+5.0))))*100))/100))*0.96)),(((((MIN((D$11),99))/100))+5.0)/(1-(((MIN((D$11),99))/100))+5.0))))*100))/100))*0.96)),(((((MIN(($D10),99))/100))+5.0)/(1-(((MIN(($D10),99))/100))+5.0))))*100))/100))*0.96)),(((((MIN(($D9),99))/100))+5.0)/(1-(((MIN(($D9),99))/100))+5.0))))*100))/100))*0.96)),(((((MIN((D$8),99))/100))+5.0)/(1-(((MIN((D$8),99))/100))+5.0))))*100))/100))*0.96)),(((((MIN((D7),99))/100))+5.0)/(1-(((MIN((D7),99))/100))+5.0))))*100))/100))*0.96)),(((((MIN(($D6),99))/100))+5.0)/(1-(((MIN(($D6),99))/100))+5.0))))*100))/100))*0.96)),(((((MIN((D$5),99))/100))+5.0)/(1-(((MIN((D$5),99))/100))+5.0))))*100))/100))*0.96)),(((((MIN((D4),99))/100))+5.0)/(1-(((MIN((D4),99))/100))+5.0))))*100))/100))*0.96)),(((((MIN((D$3),99))/100))+5.0)/(1-(((MIN((D$3),99))/100))+5.0))))*100))/100))*0.96)),(((((MIN(($D$2),99))/100))+5.0)/(1-(((MIN(($D$2),99))/100))+5.0))))*100))/100))*0.96)),(((((MIN(($D1),99))/100))+5.0)/(1-(((MIN(($D1),99))/100))+5.0))))*100),0)</f>
        <v/>
      </c>
      <c r="E1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(20)/100))*0.96)),(((((MIN((D$16),99))/100))+5.0)/(1-(((MIN((D$16),99))/100))+5.0))))*100))/100))*0.96)),(((((MIN((C$16),99))/100))+5.0)/(1-(((MIN((C$16),99))/100))+5.0))))*100))/100))*0.96)),(((((MIN(($B$16),99))/100))+5.0)/(1-(((MIN(($B$16),99))/100))+5.0))))*100))/100))*0.96)),(((((MIN((A16),99))/100))+5.0)/(1-(((MIN((A16),99))/100))+5.0))))*100))/100))*0.96)),(((((MIN(($E15),99))/100))+5.0)/(1-(((MIN(($E15),99))/100))+5.0))))*100))/100))*0.96)),(((((MIN((E14),99))/100))+5.0)/(1-(((MIN((E14),99))/100))+5.0))))*100))/100))*0.96)),(((((MIN(($E13),99))/100))+5.0)/(1-(((MIN(($E13),99))/100))+5.0))))*100))/100))*0.96)),(((((MIN(($E$12),99))/100))+5.0)/(1-(((MIN(($E$12),99))/100))+5.0))))*100))/100))*0.96)),(((((MIN(($E$11),99))/100))+5.0)/(1-(((MIN(($E$11),99))/100))+5.0))))*100))/100))*0.96)),(((((MIN((E$10),99))/100))+5.0)/(1-(((MIN((E$10),99))/100))+5.0))))*100))/100))*0.96)),(((((MIN((E9),99))/100))+5.0)/(1-(((MIN((E9),99))/100))+5.0))))*100))/100))*0.96)),(((((MIN((E8),99))/100))+5.0)/(1-(((MIN((E8),99))/100))+5.0))))*100))/100))*0.96)),(((((MIN((E$7),99))/100))+5.0)/(1-(((MIN((E$7),99))/100))+5.0))))*100))/100))*0.96)),(((((MIN(($E$6),99))/100))+5.0)/(1-(((MIN(($E$6),99))/100))+5.0))))*100))/100))*0.96)),(((((MIN(($E$5),99))/100))+5.0)/(1-(((MIN(($E$5),99))/100))+5.0))))*100))/100))*0.96)),(((((MIN((E$4),99))/100))+5.0)/(1-(((MIN((E$4),99))/100))+5.0))))*100))/100))*0.96)),(((((MIN((E$3),99))/100))+5.0)/(1-(((MIN((E$3),99))/100))+5.0))))*100))/100))*0.96)),(((((MIN(($E2),99))/100))+5.0)/(1-(((MIN(($E2),99))/100))+5.0))))*100))/100))*0.96)),(((((MIN(($E$1),99))/100))+5.0)/(1-(((MIN(($E$1),99))/100))+5.0))))*100),0)</f>
        <v/>
      </c>
      <c r="F1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(41)/100))*0.96)),(((((MIN(($E16),99))/100))+5.0)/(1-(((MIN(($E16),99))/100))+5.0))))*100))/100))*0.96)),(((((MIN(($D16),99))/100))+5.0)/(1-(((MIN(($D16),99))/100))+5.0))))*100))/100))*0.96)),(((((MIN((C16),99))/100))+5.0)/(1-(((MIN((C16),99))/100))+5.0))))*100))/100))*0.96)),(((((MIN(($B$16),99))/100))+5.0)/(1-(((MIN(($B$16),99))/100))+5.0))))*100))/100))*0.96)),(((((MIN((A16),99))/100))+5.0)/(1-(((MIN((A16),99))/100))+5.0))))*100))/100))*0.96)),(((((MIN((F15),99))/100))+5.0)/(1-(((MIN((F15),99))/100))+5.0))))*100))/100))*0.96)),(((((MIN(($F14),99))/100))+5.0)/(1-(((MIN(($F14),99))/100))+5.0))))*100))/100))*0.96)),(((((MIN((F$13),99))/100))+5.0)/(1-(((MIN((F$13),99))/100))+5.0))))*100))/100))*0.96)),(((((MIN((F12),99))/100))+5.0)/(1-(((MIN((F12),99))/100))+5.0))))*100))/100))*0.96)),(((((MIN(($F11),99))/100))+5.0)/(1-(((MIN(($F11),99))/100))+5.0))))*100))/100))*0.96)),(((((MIN((F$10),99))/100))+5.0)/(1-(((MIN((F$10),99))/100))+5.0))))*100))/100))*0.96)),(((((MIN(($F9),99))/100))+5.0)/(1-(((MIN(($F9),99))/100))+5.0))))*100))/100))*0.96)),(((((MIN((F8),99))/100))+5.0)/(1-(((MIN((F8),99))/100))+5.0))))*100))/100))*0.96)),(((((MIN((F$7),99))/100))+5.0)/(1-(((MIN((F$7),99))/100))+5.0))))*100))/100))*0.96)),(((((MIN((F$6),99))/100))+5.0)/(1-(((MIN((F$6),99))/100))+5.0))))*100))/100))*0.96)),(((((MIN(($F$5),99))/100))+5.0)/(1-(((MIN(($F$5),99))/100))+5.0))))*100))/100))*0.96)),(((((MIN(($F$4),99))/100))+5.0)/(1-(((MIN(($F$4),99))/100))+5.0))))*100))/100))*0.96)),(((((MIN(($F3),99))/100))+5.0)/(1-(((MIN(($F3),99))/100))+5.0))))*100))/100))*0.96)),(((((MIN(($F2),99))/100))+5.0)/(1-(((MIN(($F2),99))/100))+5.0))))*100))/100))*0.96)),(((((MIN(($F1),99))/100))+5.0)/(1-(((MIN(($F1),99))/100))+5.0))))*100),0)</f>
        <v/>
      </c>
      <c r="G1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(20)/100))*0.96)),(((((MIN(($F$16),99))/100))+5.0)/(1-(((MIN(($F$16),99))/100))+5.0))))*100))/100))*0.96)),(((((MIN((E$16),99))/100))+5.0)/(1-(((MIN((E$16),99))/100))+5.0))))*100))/100))*0.96)),(((((MIN((D16),99))/100))+5.0)/(1-(((MIN((D16),99))/100))+5.0))))*100))/100))*0.96)),(((((MIN(($C$16),99))/100))+5.0)/(1-(((MIN(($C$16),99))/100))+5.0))))*100))/100))*0.96)),(((((MIN(($B$16),99))/100))+5.0)/(1-(((MIN(($B$16),99))/100))+5.0))))*100))/100))*0.96)),(((((MIN(($A$16),99))/100))+5.0)/(1-(((MIN(($A$16),99))/100))+5.0))))*100))/100))*0.96)),(((((MIN(($G$15),99))/100))+5.0)/(1-(((MIN(($G$15),99))/100))+5.0))))*100))/100))*0.96)),(((((MIN((G$14),99))/100))+5.0)/(1-(((MIN((G$14),99))/100))+5.0))))*100))/100))*0.96)),(((((MIN((G$13),99))/100))+5.0)/(1-(((MIN((G$13),99))/100))+5.0))))*100))/100))*0.96)),(((((MIN((G$12),99))/100))+5.0)/(1-(((MIN((G$12),99))/100))+5.0))))*100))/100))*0.96)),(((((MIN((G11),99))/100))+5.0)/(1-(((MIN((G11),99))/100))+5.0))))*100))/100))*0.96)),(((((MIN((G10),99))/100))+5.0)/(1-(((MIN((G10),99))/100))+5.0))))*100))/100))*0.96)),(((((MIN((G$9),99))/100))+5.0)/(1-(((MIN((G$9),99))/100))+5.0))))*100))/100))*0.96)),(((((MIN(($G8),99))/100))+5.0)/(1-(((MIN(($G8),99))/100))+5.0))))*100))/100))*0.96)),(((((MIN(($G$7),99))/100))+5.0)/(1-(((MIN(($G$7),99))/100))+5.0))))*100))/100))*0.96)),(((((MIN((G6),99))/100))+5.0)/(1-(((MIN((G6),99))/100))+5.0))))*100))/100))*0.96)),(((((MIN(($G$5),99))/100))+5.0)/(1-(((MIN(($G$5),99))/100))+5.0))))*100))/100))*0.96)),(((((MIN(($G4),99))/100))+5.0)/(1-(((MIN(($G4),99))/100))+5.0))))*100))/100))*0.96)),(((((MIN(($G3),99))/100))+5.0)/(1-(((MIN(($G3),99))/100))+5.0))))*100))/100))*0.96)),(((((MIN((G2),99))/100))+5.0)/(1-(((MIN((G2),99))/100))+5.0))))*100))/100))*0.96)),(((((MIN((G$1),99))/100))+5.0)/(1-(((MIN((G$1),99))/100))+5.0))))*100),0)</f>
        <v/>
      </c>
      <c r="H1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(25)/100))*0.96)),(((((MIN(($G16),99))/100))+5.0)/(1-(((MIN(($G16),99))/100))+5.0))))*100))/100))*0.96)),(((((MIN(($F$16),99))/100))+5.0)/(1-(((MIN(($F$16),99))/100))+5.0))))*100))/100))*0.96)),(((((MIN((E$16),99))/100))+5.0)/(1-(((MIN((E$16),99))/100))+5.0))))*100))/100))*0.96)),(((((MIN(($D16),99))/100))+5.0)/(1-(((MIN(($D16),99))/100))+5.0))))*100))/100))*0.96)),(((((MIN((C$16),99))/100))+5.0)/(1-(((MIN((C$16),99))/100))+5.0))))*100))/100))*0.96)),(((((MIN((B16),99))/100))+5.0)/(1-(((MIN((B16),99))/100))+5.0))))*100))/100))*0.96)),(((((MIN((A$16),99))/100))+5.0)/(1-(((MIN((A$16),99))/100))+5.0))))*100))/100))*0.96)),(((((MIN((H$15),99))/100))+5.0)/(1-(((MIN((H$15),99))/100))+5.0))))*100))/100))*0.96)),(((((MIN(($H14),99))/100))+5.0)/(1-(((MIN(($H14),99))/100))+5.0))))*100))/100))*0.96)),(((((MIN((H$13),99))/100))+5.0)/(1-(((MIN((H$13),99))/100))+5.0))))*100))/100))*0.96)),(((((MIN((H$12),99))/100))+5.0)/(1-(((MIN((H$12),99))/100))+5.0))))*100))/100))*0.96)),(((((MIN((H$11),99))/100))+5.0)/(1-(((MIN((H$11),99))/100))+5.0))))*100))/100))*0.96)),(((((MIN((H$10),99))/100))+5.0)/(1-(((MIN((H$10),99))/100))+5.0))))*100))/100))*0.96)),(((((MIN((H$9),99))/100))+5.0)/(1-(((MIN((H$9),99))/100))+5.0))))*100))/100))*0.96)),(((((MIN(($H$8),99))/100))+5.0)/(1-(((MIN(($H$8),99))/100))+5.0))))*100))/100))*0.96)),(((((MIN((H$7),99))/100))+5.0)/(1-(((MIN((H$7),99))/100))+5.0))))*100))/100))*0.96)),(((((MIN(($H$6),99))/100))+5.0)/(1-(((MIN(($H$6),99))/100))+5.0))))*100))/100))*0.96)),(((((MIN(($H$5),99))/100))+5.0)/(1-(((MIN(($H$5),99))/100))+5.0))))*100))/100))*0.96)),(((((MIN((H4),99))/100))+5.0)/(1-(((MIN((H4),99))/100))+5.0))))*100))/100))*0.96)),(((((MIN(($H3),99))/100))+5.0)/(1-(((MIN(($H3),99))/100))+5.0))))*100))/100))*0.96)),(((((MIN((H$2),99))/100))+5.0)/(1-(((MIN((H$2),99))/100))+5.0))))*100))/100))*0.96)),(((((MIN((H$1),99))/100))+5.0)/(1-(((MIN((H$1),99))/100))+5.0))))*100),0)</f>
        <v/>
      </c>
      <c r="I1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(18)/100))*0.96)),(((((MIN(($H16),99))/100))+5.0)/(1-(((MIN(($H16),99))/100))+5.0))))*100))/100))*0.96)),(((((MIN((G$16),99))/100))+5.0)/(1-(((MIN((G$16),99))/100))+5.0))))*100))/100))*0.96)),(((((MIN(($F$16),99))/100))+5.0)/(1-(((MIN(($F$16),99))/100))+5.0))))*100))/100))*0.96)),(((((MIN((E16),99))/100))+5.0)/(1-(((MIN((E16),99))/100))+5.0))))*100))/100))*0.96)),(((((MIN((D$16),99))/100))+5.0)/(1-(((MIN((D$16),99))/100))+5.0))))*100))/100))*0.96)),(((((MIN((C16),99))/100))+5.0)/(1-(((MIN((C16),99))/100))+5.0))))*100))/100))*0.96)),(((((MIN(($B16),99))/100))+5.0)/(1-(((MIN(($B16),99))/100))+5.0))))*100))/100))*0.96)),(((((MIN(($A$16),99))/100))+5.0)/(1-(((MIN(($A$16),99))/100))+5.0))))*100))/100))*0.96)),(((((MIN((I$15),99))/100))+5.0)/(1-(((MIN((I$15),99))/100))+5.0))))*100))/100))*0.96)),(((((MIN(($I$14),99))/100))+5.0)/(1-(((MIN(($I$14),99))/100))+5.0))))*100))/100))*0.96)),(((((MIN(($I13),99))/100))+5.0)/(1-(((MIN(($I13),99))/100))+5.0))))*100))/100))*0.96)),(((((MIN(($I12),99))/100))+5.0)/(1-(((MIN(($I12),99))/100))+5.0))))*100))/100))*0.96)),(((((MIN((I$11),99))/100))+5.0)/(1-(((MIN((I$11),99))/100))+5.0))))*100))/100))*0.96)),(((((MIN((I10),99))/100))+5.0)/(1-(((MIN((I10),99))/100))+5.0))))*100))/100))*0.96)),(((((MIN((I$9),99))/100))+5.0)/(1-(((MIN((I$9),99))/100))+5.0))))*100))/100))*0.96)),(((((MIN((I$8),99))/100))+5.0)/(1-(((MIN((I$8),99))/100))+5.0))))*100))/100))*0.96)),(((((MIN((I7),99))/100))+5.0)/(1-(((MIN((I7),99))/100))+5.0))))*100))/100))*0.96)),(((((MIN((I$6),99))/100))+5.0)/(1-(((MIN((I$6),99))/100))+5.0))))*100))/100))*0.96)),(((((MIN(($I5),99))/100))+5.0)/(1-(((MIN(($I5),99))/100))+5.0))))*100))/100))*0.96)),(((((MIN((I$4),99))/100))+5.0)/(1-(((MIN((I$4),99))/100))+5.0))))*100))/100))*0.96)),(((((MIN(($I3),99))/100))+5.0)/(1-(((MIN(($I3),99))/100))+5.0))))*100))/100))*0.96)),(((((MIN(($I$2),99))/100))+5.0)/(1-(((MIN(($I$2),99))/100))+5.0))))*100))/100))*0.96)),(((((MIN(($I1),99))/100))+5.0)/(1-(((MIN(($I1),99))/100))+5.0))))*100),0)</f>
        <v/>
      </c>
      <c r="J1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(28)/100))*0.96)),(((((MIN((I$16),99))/100))+5.0)/(1-(((MIN((I$16),99))/100))+5.0))))*100))/100))*0.96)),(((((MIN(($H$16),99))/100))+5.0)/(1-(((MIN(($H$16),99))/100))+5.0))))*100))/100))*0.96)),(((((MIN((G$16),99))/100))+5.0)/(1-(((MIN((G$16),99))/100))+5.0))))*100))/100))*0.96)),(((((MIN(($F16),99))/100))+5.0)/(1-(((MIN(($F16),99))/100))+5.0))))*100))/100))*0.96)),(((((MIN(($E$16),99))/100))+5.0)/(1-(((MIN(($E$16),99))/100))+5.0))))*100))/100))*0.96)),(((((MIN((D16),99))/100))+5.0)/(1-(((MIN((D16),99))/100))+5.0))))*100))/100))*0.96)),(((((MIN((C16),99))/100))+5.0)/(1-(((MIN((C16),99))/100))+5.0))))*100))/100))*0.96)),(((((MIN((B16),99))/100))+5.0)/(1-(((MIN((B16),99))/100))+5.0))))*100))/100))*0.96)),(((((MIN((J$15),99))/100))+5.0)/(1-(((MIN((J$15),99))/100))+5.0))))*100))/100))*0.96)),(((((MIN((J14),99))/100))+5.0)/(1-(((MIN((J14),99))/100))+5.0))))*100))/100))*0.96)),(((((MIN(($J13),99))/100))+5.0)/(1-(((MIN(($J13),99))/100))+5.0))))*100))/100))*0.96)),(((((MIN(($J$12),99))/100))+5.0)/(1-(((MIN(($J$12),99))/100))+5.0))))*100))/100))*0.96)),(((((MIN((J11),99))/100))+5.0)/(1-(((MIN((J11),99))/100))+5.0))))*100))/100))*0.96)),(((((MIN((J10),99))/100))+5.0)/(1-(((MIN((J10),99))/100))+5.0))))*100))/100))*0.96)),(((((MIN((J$9),99))/100))+5.0)/(1-(((MIN((J$9),99))/100))+5.0))))*100))/100))*0.96)),(((((MIN((J8),99))/100))+5.0)/(1-(((MIN((J8),99))/100))+5.0))))*100))/100))*0.96)),(((((MIN(($J7),99))/100))+5.0)/(1-(((MIN(($J7),99))/100))+5.0))))*100))/100))*0.96)),(((((MIN(($J$6),99))/100))+5.0)/(1-(((MIN(($J$6),99))/100))+5.0))))*100))/100))*0.96)),(((((MIN(($J5),99))/100))+5.0)/(1-(((MIN(($J5),99))/100))+5.0))))*100))/100))*0.96)),(((((MIN(($J4),99))/100))+5.0)/(1-(((MIN(($J4),99))/100))+5.0))))*100))/100))*0.96)),(((((MIN((J$3),99))/100))+5.0)/(1-(((MIN((J$3),99))/100))+5.0))))*100))/100))*0.96)),(((((MIN((J2),99))/100))+5.0)/(1-(((MIN((J2),99))/100))+5.0))))*100))/100))*0.96)),(((((MIN((J$1),99))/100))+5.0)/(1-(((MIN((J$1),99))/100))+5.0))))*100),0)</f>
        <v/>
      </c>
      <c r="K1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(44)/100))*0.96)),(((((MIN((J16),99))/100))+5.0)/(1-(((MIN((J16),99))/100))+5.0))))*100))/100))*0.96)),(((((MIN((I$16),99))/100))+5.0)/(1-(((MIN((I$16),99))/100))+5.0))))*100))/100))*0.96)),(((((MIN(($H$16),99))/100))+5.0)/(1-(((MIN(($H$16),99))/100))+5.0))))*100))/100))*0.96)),(((((MIN((G16),99))/100))+5.0)/(1-(((MIN((G16),99))/100))+5.0))))*100))/100))*0.96)),(((((MIN((F16),99))/100))+5.0)/(1-(((MIN((F16),99))/100))+5.0))))*100))/100))*0.96)),(((((MIN((E16),99))/100))+5.0)/(1-(((MIN((E16),99))/100))+5.0))))*100))/100))*0.96)),(((((MIN(($D16),99))/100))+5.0)/(1-(((MIN(($D16),99))/100))+5.0))))*100))/100))*0.96)),(((((MIN(($C16),99))/100))+5.0)/(1-(((MIN(($C16),99))/100))+5.0))))*100))/100))*0.96)),(((((MIN(($K15),99))/100))+5.0)/(1-(((MIN(($K15),99))/100))+5.0))))*100))/100))*0.96)),(((((MIN(($K14),99))/100))+5.0)/(1-(((MIN(($K14),99))/100))+5.0))))*100))/100))*0.96)),(((((MIN(($K13),99))/100))+5.0)/(1-(((MIN(($K13),99))/100))+5.0))))*100))/100))*0.96)),(((((MIN((K12),99))/100))+5.0)/(1-(((MIN((K12),99))/100))+5.0))))*100))/100))*0.96)),(((((MIN((K$11),99))/100))+5.0)/(1-(((MIN((K$11),99))/100))+5.0))))*100))/100))*0.96)),(((((MIN((K10),99))/100))+5.0)/(1-(((MIN((K10),99))/100))+5.0))))*100))/100))*0.96)),(((((MIN((K$9),99))/100))+5.0)/(1-(((MIN((K$9),99))/100))+5.0))))*100))/100))*0.96)),(((((MIN((K8),99))/100))+5.0)/(1-(((MIN((K8),99))/100))+5.0))))*100))/100))*0.96)),(((((MIN((K$7),99))/100))+5.0)/(1-(((MIN((K$7),99))/100))+5.0))))*100))/100))*0.96)),(((((MIN((K$6),99))/100))+5.0)/(1-(((MIN((K$6),99))/100))+5.0))))*100))/100))*0.96)),(((((MIN((K5),99))/100))+5.0)/(1-(((MIN((K5),99))/100))+5.0))))*100))/100))*0.96)),(((((MIN((K$4),99))/100))+5.0)/(1-(((MIN((K$4),99))/100))+5.0))))*100))/100))*0.96)),(((((MIN((K3),99))/100))+5.0)/(1-(((MIN((K3),99))/100))+5.0))))*100))/100))*0.96)),(((((MIN(($K$2),99))/100))+5.0)/(1-(((MIN(($K$2),99))/100))+5.0))))*100))/100))*0.96)),(((((MIN((K1),99))/100))+5.0)/(1-(((MIN((K1),99))/100))+5.0))))*100),0)</f>
        <v/>
      </c>
      <c r="L1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(79)/100))*0.96)),(((((MIN((K$16),99))/100))+5.0)/(1-(((MIN((K$16),99))/100))+5.0))))*100))/100))*0.96)),(((((MIN(($J$16),99))/100))+5.0)/(1-(((MIN(($J$16),99))/100))+5.0))))*100))/100))*0.96)),(((((MIN(($I16),99))/100))+5.0)/(1-(((MIN(($I16),99))/100))+5.0))))*100))/100))*0.96)),(((((MIN(($H$16),99))/100))+5.0)/(1-(((MIN(($H$16),99))/100))+5.0))))*100))/100))*0.96)),(((((MIN(($G16),99))/100))+5.0)/(1-(((MIN(($G16),99))/100))+5.0))))*100))/100))*0.96)),(((((MIN((F16),99))/100))+5.0)/(1-(((MIN((F16),99))/100))+5.0))))*100))/100))*0.96)),(((((MIN((E16),99))/100))+5.0)/(1-(((MIN((E16),99))/100))+5.0))))*100))/100))*0.96)),(((((MIN((D$16),99))/100))+5.0)/(1-(((MIN((D$16),99))/100))+5.0))))*100))/100))*0.96)),(((((MIN(($L15),99))/100))+5.0)/(1-(((MIN(($L15),99))/100))+5.0))))*100))/100))*0.96)),(((((MIN((L$14),99))/100))+5.0)/(1-(((MIN((L$14),99))/100))+5.0))))*100))/100))*0.96)),(((((MIN(($L$13),99))/100))+5.0)/(1-(((MIN(($L$13),99))/100))+5.0))))*100))/100))*0.96)),(((((MIN((L12),99))/100))+5.0)/(1-(((MIN((L12),99))/100))+5.0))))*100))/100))*0.96)),(((((MIN((L11),99))/100))+5.0)/(1-(((MIN((L11),99))/100))+5.0))))*100))/100))*0.96)),(((((MIN((L$10),99))/100))+5.0)/(1-(((MIN((L$10),99))/100))+5.0))))*100))/100))*0.96)),(((((MIN(($L9),99))/100))+5.0)/(1-(((MIN(($L9),99))/100))+5.0))))*100))/100))*0.96)),(((((MIN((L$8),99))/100))+5.0)/(1-(((MIN((L$8),99))/100))+5.0))))*100))/100))*0.96)),(((((MIN((L7),99))/100))+5.0)/(1-(((MIN((L7),99))/100))+5.0))))*100))/100))*0.96)),(((((MIN((L6),99))/100))+5.0)/(1-(((MIN((L6),99))/100))+5.0))))*100))/100))*0.96)),(((((MIN(($L$5),99))/100))+5.0)/(1-(((MIN(($L$5),99))/100))+5.0))))*100))/100))*0.96)),(((((MIN(($L4),99))/100))+5.0)/(1-(((MIN(($L4),99))/100))+5.0))))*100))/100))*0.96)),(((((MIN(($L$3),99))/100))+5.0)/(1-(((MIN(($L$3),99))/100))+5.0))))*100))/100))*0.96)),(((((MIN(($L$2),99))/100))+5.0)/(1-(((MIN(($L$2),99))/100))+5.0))))*100))/100))*0.96)),(((((MIN((L$1),99))/100))+5.0)/(1-(((MIN((L$1),99))/100))+5.0))))*100),0)</f>
        <v/>
      </c>
      <c r="M1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(92)/100))*0.96)),(((((MIN((L$16),99))/100))+5.0)/(1-(((MIN((L$16),99))/100))+5.0))))*100))/100))*0.96)),(((((MIN((K$16),99))/100))+5.0)/(1-(((MIN((K$16),99))/100))+5.0))))*100))/100))*0.96)),(((((MIN((J$16),99))/100))+5.0)/(1-(((MIN((J$16),99))/100))+5.0))))*100))/100))*0.96)),(((((MIN(($I$16),99))/100))+5.0)/(1-(((MIN(($I$16),99))/100))+5.0))))*100))/100))*0.96)),(((((MIN(($H$16),99))/100))+5.0)/(1-(((MIN(($H$16),99))/100))+5.0))))*100))/100))*0.96)),(((((MIN((G16),99))/100))+5.0)/(1-(((MIN((G16),99))/100))+5.0))))*100))/100))*0.96)),(((((MIN(($F$16),99))/100))+5.0)/(1-(((MIN(($F$16),99))/100))+5.0))))*100))/100))*0.96)),(((((MIN((E$16),99))/100))+5.0)/(1-(((MIN((E$16),99))/100))+5.0))))*100))/100))*0.96)),(((((MIN((M$15),99))/100))+5.0)/(1-(((MIN((M$15),99))/100))+5.0))))*100))/100))*0.96)),(((((MIN((M14),99))/100))+5.0)/(1-(((MIN((M14),99))/100))+5.0))))*100))/100))*0.96)),(((((MIN(($M$13),99))/100))+5.0)/(1-(((MIN(($M$13),99))/100))+5.0))))*100))/100))*0.96)),(((((MIN((M12),99))/100))+5.0)/(1-(((MIN((M12),99))/100))+5.0))))*100))/100))*0.96)),(((((MIN(($M11),99))/100))+5.0)/(1-(((MIN(($M11),99))/100))+5.0))))*100))/100))*0.96)),(((((MIN((M10),99))/100))+5.0)/(1-(((MIN((M10),99))/100))+5.0))))*100))/100))*0.96)),(((((MIN(($M9),99))/100))+5.0)/(1-(((MIN(($M9),99))/100))+5.0))))*100))/100))*0.96)),(((((MIN((M$8),99))/100))+5.0)/(1-(((MIN((M$8),99))/100))+5.0))))*100))/100))*0.96)),(((((MIN((M$7),99))/100))+5.0)/(1-(((MIN((M$7),99))/100))+5.0))))*100))/100))*0.96)),(((((MIN((M$6),99))/100))+5.0)/(1-(((MIN((M$6),99))/100))+5.0))))*100))/100))*0.96)),(((((MIN(($M$5),99))/100))+5.0)/(1-(((MIN(($M$5),99))/100))+5.0))))*100))/100))*0.96)),(((((MIN(($M$4),99))/100))+5.0)/(1-(((MIN(($M$4),99))/100))+5.0))))*100))/100))*0.96)),(((((MIN(($M$3),99))/100))+5.0)/(1-(((MIN(($M$3),99))/100))+5.0))))*100))/100))*0.96)),(((((MIN(($M2),99))/100))+5.0)/(1-(((MIN(($M2),99))/100))+5.0))))*100))/100))*0.96)),(((((MIN(($M1),99))/100))+5.0)/(1-(((MIN(($M1),99))/100))+5.0))))*100),0)</f>
        <v/>
      </c>
      <c r="N1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(67)/100))*0.96)),(((((MIN((M16),99))/100))+5.0)/(1-(((MIN((M16),99))/100))+5.0))))*100))/100))*0.96)),(((((MIN((L$16),99))/100))+5.0)/(1-(((MIN((L$16),99))/100))+5.0))))*100))/100))*0.96)),(((((MIN(($K$16),99))/100))+5.0)/(1-(((MIN(($K$16),99))/100))+5.0))))*100))/100))*0.96)),(((((MIN(($J16),99))/100))+5.0)/(1-(((MIN(($J16),99))/100))+5.0))))*100))/100))*0.96)),(((((MIN((I16),99))/100))+5.0)/(1-(((MIN((I16),99))/100))+5.0))))*100))/100))*0.96)),(((((MIN(($H$16),99))/100))+5.0)/(1-(((MIN(($H$16),99))/100))+5.0))))*100))/100))*0.96)),(((((MIN(($G16),99))/100))+5.0)/(1-(((MIN(($G16),99))/100))+5.0))))*100))/100))*0.96)),(((((MIN((F$16),99))/100))+5.0)/(1-(((MIN((F$16),99))/100))+5.0))))*100))/100))*0.96)),(((((MIN((N$15),99))/100))+5.0)/(1-(((MIN((N$15),99))/100))+5.0))))*100))/100))*0.96)),(((((MIN((N14),99))/100))+5.0)/(1-(((MIN((N14),99))/100))+5.0))))*100))/100))*0.96)),(((((MIN((N13),99))/100))+5.0)/(1-(((MIN((N13),99))/100))+5.0))))*100))/100))*0.96)),(((((MIN(($N12),99))/100))+5.0)/(1-(((MIN(($N12),99))/100))+5.0))))*100))/100))*0.96)),(((((MIN((N11),99))/100))+5.0)/(1-(((MIN((N11),99))/100))+5.0))))*100))/100))*0.96)),(((((MIN((N$10),99))/100))+5.0)/(1-(((MIN((N$10),99))/100))+5.0))))*100))/100))*0.96)),(((((MIN(($N$9),99))/100))+5.0)/(1-(((MIN(($N$9),99))/100))+5.0))))*100))/100))*0.96)),(((((MIN(($N8),99))/100))+5.0)/(1-(((MIN(($N8),99))/100))+5.0))))*100))/100))*0.96)),(((((MIN((N$7),99))/100))+5.0)/(1-(((MIN((N$7),99))/100))+5.0))))*100))/100))*0.96)),(((((MIN(($N$6),99))/100))+5.0)/(1-(((MIN(($N$6),99))/100))+5.0))))*100))/100))*0.96)),(((((MIN(($N$5),99))/100))+5.0)/(1-(((MIN(($N$5),99))/100))+5.0))))*100))/100))*0.96)),(((((MIN((N4),99))/100))+5.0)/(1-(((MIN((N4),99))/100))+5.0))))*100))/100))*0.96)),(((((MIN((N$3),99))/100))+5.0)/(1-(((MIN((N$3),99))/100))+5.0))))*100))/100))*0.96)),(((((MIN((N2),99))/100))+5.0)/(1-(((MIN((N2),99))/100))+5.0))))*100))/100))*0.96)),(((((MIN(($N$1),99))/100))+5.0)/(1-(((MIN(($N$1),99))/100))+5.0))))*100),0)</f>
        <v/>
      </c>
      <c r="O1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(53)/100))*0.96)),(((((MIN(($N16),99))/100))+5.0)/(1-(((MIN(($N16),99))/100))+5.0))))*100))/100))*0.96)),(((((MIN(($M$16),99))/100))+5.0)/(1-(((MIN(($M$16),99))/100))+5.0))))*100))/100))*0.96)),(((((MIN(($L16),99))/100))+5.0)/(1-(((MIN(($L16),99))/100))+5.0))))*100))/100))*0.96)),(((((MIN((K$16),99))/100))+5.0)/(1-(((MIN((K$16),99))/100))+5.0))))*100))/100))*0.96)),(((((MIN(($J16),99))/100))+5.0)/(1-(((MIN(($J16),99))/100))+5.0))))*100))/100))*0.96)),(((((MIN(($I$16),99))/100))+5.0)/(1-(((MIN(($I$16),99))/100))+5.0))))*100))/100))*0.96)),(((((MIN(($H$16),99))/100))+5.0)/(1-(((MIN(($H$16),99))/100))+5.0))))*100))/100))*0.96)),(((((MIN((G$16),99))/100))+5.0)/(1-(((MIN((G$16),99))/100))+5.0))))*100))/100))*0.96)),(((((MIN((O$15),99))/100))+5.0)/(1-(((MIN((O$15),99))/100))+5.0))))*100))/100))*0.96)),(((((MIN(($O$14),99))/100))+5.0)/(1-(((MIN(($O$14),99))/100))+5.0))))*100))/100))*0.96)),(((((MIN((O13),99))/100))+5.0)/(1-(((MIN((O13),99))/100))+5.0))))*100))/100))*0.96)),(((((MIN((O$12),99))/100))+5.0)/(1-(((MIN((O$12),99))/100))+5.0))))*100))/100))*0.96)),(((((MIN((O11),99))/100))+5.0)/(1-(((MIN((O11),99))/100))+5.0))))*100))/100))*0.96)),(((((MIN((O$10),99))/100))+5.0)/(1-(((MIN((O$10),99))/100))+5.0))))*100))/100))*0.96)),(((((MIN(($O$9),99))/100))+5.0)/(1-(((MIN(($O$9),99))/100))+5.0))))*100))/100))*0.96)),(((((MIN(($O$8),99))/100))+5.0)/(1-(((MIN(($O$8),99))/100))+5.0))))*100))/100))*0.96)),(((((MIN((O7),99))/100))+5.0)/(1-(((MIN((O7),99))/100))+5.0))))*100))/100))*0.96)),(((((MIN((O$6),99))/100))+5.0)/(1-(((MIN((O$6),99))/100))+5.0))))*100))/100))*0.96)),(((((MIN(($O5),99))/100))+5.0)/(1-(((MIN(($O5),99))/100))+5.0))))*100))/100))*0.96)),(((((MIN((O$4),99))/100))+5.0)/(1-(((MIN((O$4),99))/100))+5.0))))*100))/100))*0.96)),(((((MIN((O$3),99))/100))+5.0)/(1-(((MIN((O$3),99))/100))+5.0))))*100))/100))*0.96)),(((((MIN((O$2),99))/100))+5.0)/(1-(((MIN((O$2),99))/100))+5.0))))*100))/100))*0.96)),(((((MIN((O$1),99))/100))+5.0)/(1-(((MIN((O$1),99))/100))+5.0))))*100),0)</f>
        <v/>
      </c>
      <c r="P1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(31)/100))*0.96)),(((((MIN(($O$16),99))/100))+5.0)/(1-(((MIN(($O$16),99))/100))+5.0))))*100))/100))*0.96)),(((((MIN(($N16),99))/100))+5.0)/(1-(((MIN(($N16),99))/100))+5.0))))*100))/100))*0.96)),(((((MIN(($M$16),99))/100))+5.0)/(1-(((MIN(($M$16),99))/100))+5.0))))*100))/100))*0.96)),(((((MIN(($L16),99))/100))+5.0)/(1-(((MIN(($L16),99))/100))+5.0))))*100))/100))*0.96)),(((((MIN(($K16),99))/100))+5.0)/(1-(((MIN(($K16),99))/100))+5.0))))*100))/100))*0.96)),(((((MIN((J16),99))/100))+5.0)/(1-(((MIN((J16),99))/100))+5.0))))*100))/100))*0.96)),(((((MIN((I$16),99))/100))+5.0)/(1-(((MIN((I$16),99))/100))+5.0))))*100))/100))*0.96)),(((((MIN(($H$16),99))/100))+5.0)/(1-(((MIN(($H$16),99))/100))+5.0))))*100))/100))*0.96)),(((((MIN(($P15),99))/100))+5.0)/(1-(((MIN(($P15),99))/100))+5.0))))*100))/100))*0.96)),(((((MIN(($P$14),99))/100))+5.0)/(1-(((MIN(($P$14),99))/100))+5.0))))*100))/100))*0.96)),(((((MIN((P13),99))/100))+5.0)/(1-(((MIN((P13),99))/100))+5.0))))*100))/100))*0.96)),(((((MIN(($P$12),99))/100))+5.0)/(1-(((MIN(($P$12),99))/100))+5.0))))*100))/100))*0.96)),(((((MIN(($P$11),99))/100))+5.0)/(1-(((MIN(($P$11),99))/100))+5.0))))*100))/100))*0.96)),(((((MIN((P$10),99))/100))+5.0)/(1-(((MIN((P$10),99))/100))+5.0))))*100))/100))*0.96)),(((((MIN((P$9),99))/100))+5.0)/(1-(((MIN((P$9),99))/100))+5.0))))*100))/100))*0.96)),(((((MIN(($P$8),99))/100))+5.0)/(1-(((MIN(($P$8),99))/100))+5.0))))*100))/100))*0.96)),(((((MIN((P$7),99))/100))+5.0)/(1-(((MIN((P$7),99))/100))+5.0))))*100))/100))*0.96)),(((((MIN((P6),99))/100))+5.0)/(1-(((MIN((P6),99))/100))+5.0))))*100))/100))*0.96)),(((((MIN((P$5),99))/100))+5.0)/(1-(((MIN((P$5),99))/100))+5.0))))*100))/100))*0.96)),(((((MIN(($P4),99))/100))+5.0)/(1-(((MIN(($P4),99))/100))+5.0))))*100))/100))*0.96)),(((((MIN((P3),99))/100))+5.0)/(1-(((MIN((P3),99))/100))+5.0))))*100))/100))*0.96)),(((((MIN((P$2),99))/100))+5.0)/(1-(((MIN((P$2),99))/100))+5.0))))*100))/100))*0.96)),(((((MIN((P1),99))/100))+5.0)/(1-(((MIN((P1),99))/100))+5.0))))*100),0)</f>
        <v/>
      </c>
      <c r="Q1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(42)/100))*0.96)),(((((MIN((P16),99))/100))+5.0)/(1-(((MIN((P16),99))/100))+5.0))))*100))/100))*0.96)),(((((MIN(($O$16),99))/100))+5.0)/(1-(((MIN(($O$16),99))/100))+5.0))))*100))/100))*0.96)),(((((MIN(($N$16),99))/100))+5.0)/(1-(((MIN(($N$16),99))/100))+5.0))))*100))/100))*0.96)),(((((MIN(($M$16),99))/100))+5.0)/(1-(((MIN(($M$16),99))/100))+5.0))))*100))/100))*0.96)),(((((MIN(($L$16),99))/100))+5.0)/(1-(((MIN(($L$16),99))/100))+5.0))))*100))/100))*0.96)),(((((MIN((K16),99))/100))+5.0)/(1-(((MIN((K16),99))/100))+5.0))))*100))/100))*0.96)),(((((MIN(($J16),99))/100))+5.0)/(1-(((MIN(($J16),99))/100))+5.0))))*100))/100))*0.96)),(((((MIN((I16),99))/100))+5.0)/(1-(((MIN((I16),99))/100))+5.0))))*100))/100))*0.96)),(((((MIN((Q15),99))/100))+5.0)/(1-(((MIN((Q15),99))/100))+5.0))))*100))/100))*0.96)),(((((MIN(($Q14),99))/100))+5.0)/(1-(((MIN(($Q14),99))/100))+5.0))))*100))/100))*0.96)),(((((MIN((Q$13),99))/100))+5.0)/(1-(((MIN((Q$13),99))/100))+5.0))))*100))/100))*0.96)),(((((MIN((Q$12),99))/100))+5.0)/(1-(((MIN((Q$12),99))/100))+5.0))))*100))/100))*0.96)),(((((MIN((Q11),99))/100))+5.0)/(1-(((MIN((Q11),99))/100))+5.0))))*100))/100))*0.96)),(((((MIN(($Q$10),99))/100))+5.0)/(1-(((MIN(($Q$10),99))/100))+5.0))))*100))/100))*0.96)),(((((MIN((Q$9),99))/100))+5.0)/(1-(((MIN((Q$9),99))/100))+5.0))))*100))/100))*0.96)),(((((MIN(($Q8),99))/100))+5.0)/(1-(((MIN(($Q8),99))/100))+5.0))))*100))/100))*0.96)),(((((MIN(($Q$7),99))/100))+5.0)/(1-(((MIN(($Q$7),99))/100))+5.0))))*100))/100))*0.96)),(((((MIN((Q6),99))/100))+5.0)/(1-(((MIN((Q6),99))/100))+5.0))))*100))/100))*0.96)),(((((MIN((Q5),99))/100))+5.0)/(1-(((MIN((Q5),99))/100))+5.0))))*100))/100))*0.96)),(((((MIN(($Q$4),99))/100))+5.0)/(1-(((MIN(($Q$4),99))/100))+5.0))))*100))/100))*0.96)),(((((MIN(($Q$3),99))/100))+5.0)/(1-(((MIN(($Q$3),99))/100))+5.0))))*100))/100))*0.96)),(((((MIN(($Q$2),99))/100))+5.0)/(1-(((MIN(($Q$2),99))/100))+5.0))))*100))/100))*0.96)),(((((MIN(($Q$1),99))/100))+5.0)/(1-(((MIN(($Q$1),99))/100))+5.0))))*100),0)</f>
        <v/>
      </c>
      <c r="R1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(6)/100))*0.96)),(((((MIN((Q16),99))/100))+5.0)/(1-(((MIN((Q16),99))/100))+5.0))))*100))/100))*0.96)),(((((MIN(($P$16),99))/100))+5.0)/(1-(((MIN(($P$16),99))/100))+5.0))))*100))/100))*0.96)),(((((MIN(($O16),99))/100))+5.0)/(1-(((MIN(($O16),99))/100))+5.0))))*100))/100))*0.96)),(((((MIN(($N$16),99))/100))+5.0)/(1-(((MIN(($N$16),99))/100))+5.0))))*100))/100))*0.96)),(((((MIN((M16),99))/100))+5.0)/(1-(((MIN((M16),99))/100))+5.0))))*100))/100))*0.96)),(((((MIN((L16),99))/100))+5.0)/(1-(((MIN((L16),99))/100))+5.0))))*100))/100))*0.96)),(((((MIN(($K$16),99))/100))+5.0)/(1-(((MIN(($K$16),99))/100))+5.0))))*100))/100))*0.96)),(((((MIN((J$16),99))/100))+5.0)/(1-(((MIN((J$16),99))/100))+5.0))))*100))/100))*0.96)),(((((MIN((R15),99))/100))+5.0)/(1-(((MIN((R15),99))/100))+5.0))))*100))/100))*0.96)),(((((MIN((R14),99))/100))+5.0)/(1-(((MIN((R14),99))/100))+5.0))))*100))/100))*0.96)),(((((MIN(($R$13),99))/100))+5.0)/(1-(((MIN(($R$13),99))/100))+5.0))))*100))/100))*0.96)),(((((MIN(($R$12),99))/100))+5.0)/(1-(((MIN(($R$12),99))/100))+5.0))))*100))/100))*0.96)),(((((MIN((R11),99))/100))+5.0)/(1-(((MIN((R11),99))/100))+5.0))))*100))/100))*0.96)),(((((MIN((R$10),99))/100))+5.0)/(1-(((MIN((R$10),99))/100))+5.0))))*100))/100))*0.96)),(((((MIN(($R$9),99))/100))+5.0)/(1-(((MIN(($R$9),99))/100))+5.0))))*100))/100))*0.96)),(((((MIN(($R$8),99))/100))+5.0)/(1-(((MIN(($R$8),99))/100))+5.0))))*100))/100))*0.96)),(((((MIN((R$7),99))/100))+5.0)/(1-(((MIN((R$7),99))/100))+5.0))))*100))/100))*0.96)),(((((MIN(($R6),99))/100))+5.0)/(1-(((MIN(($R6),99))/100))+5.0))))*100))/100))*0.96)),(((((MIN((R$5),99))/100))+5.0)/(1-(((MIN((R$5),99))/100))+5.0))))*100))/100))*0.96)),(((((MIN((R4),99))/100))+5.0)/(1-(((MIN((R4),99))/100))+5.0))))*100))/100))*0.96)),(((((MIN(($R3),99))/100))+5.0)/(1-(((MIN(($R3),99))/100))+5.0))))*100))/100))*0.96)),(((((MIN(($R$2),99))/100))+5.0)/(1-(((MIN(($R$2),99))/100))+5.0))))*100))/100))*0.96)),(((((MIN(($R$1),99))/100))+5.0)/(1-(((MIN(($R$1),99))/100))+5.0))))*100),0)</f>
        <v/>
      </c>
      <c r="S1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(51)/100))*0.96)),(((((MIN((R16),99))/100))+5.0)/(1-(((MIN((R16),99))/100))+5.0))))*100))/100))*0.96)),(((((MIN(($Q16),99))/100))+5.0)/(1-(((MIN(($Q16),99))/100))+5.0))))*100))/100))*0.96)),(((((MIN((P$16),99))/100))+5.0)/(1-(((MIN((P$16),99))/100))+5.0))))*100))/100))*0.96)),(((((MIN(($O16),99))/100))+5.0)/(1-(((MIN(($O16),99))/100))+5.0))))*100))/100))*0.96)),(((((MIN(($N16),99))/100))+5.0)/(1-(((MIN(($N16),99))/100))+5.0))))*100))/100))*0.96)),(((((MIN((M$16),99))/100))+5.0)/(1-(((MIN((M$16),99))/100))+5.0))))*100))/100))*0.96)),(((((MIN((L$16),99))/100))+5.0)/(1-(((MIN((L$16),99))/100))+5.0))))*100))/100))*0.96)),(((((MIN(($K16),99))/100))+5.0)/(1-(((MIN(($K16),99))/100))+5.0))))*100))/100))*0.96)),(((((MIN(($S$15),99))/100))+5.0)/(1-(((MIN(($S$15),99))/100))+5.0))))*100))/100))*0.96)),(((((MIN((S$14),99))/100))+5.0)/(1-(((MIN((S$14),99))/100))+5.0))))*100))/100))*0.96)),(((((MIN((S13),99))/100))+5.0)/(1-(((MIN((S13),99))/100))+5.0))))*100))/100))*0.96)),(((((MIN(($S$12),99))/100))+5.0)/(1-(((MIN(($S$12),99))/100))+5.0))))*100))/100))*0.96)),(((((MIN(($S$11),99))/100))+5.0)/(1-(((MIN(($S$11),99))/100))+5.0))))*100))/100))*0.96)),(((((MIN(($S$10),99))/100))+5.0)/(1-(((MIN(($S$10),99))/100))+5.0))))*100))/100))*0.96)),(((((MIN(($S$9),99))/100))+5.0)/(1-(((MIN(($S$9),99))/100))+5.0))))*100))/100))*0.96)),(((((MIN(($S8),99))/100))+5.0)/(1-(((MIN(($S8),99))/100))+5.0))))*100))/100))*0.96)),(((((MIN((S7),99))/100))+5.0)/(1-(((MIN((S7),99))/100))+5.0))))*100))/100))*0.96)),(((((MIN((S6),99))/100))+5.0)/(1-(((MIN((S6),99))/100))+5.0))))*100))/100))*0.96)),(((((MIN(($S$5),99))/100))+5.0)/(1-(((MIN(($S$5),99))/100))+5.0))))*100))/100))*0.96)),(((((MIN(($S4),99))/100))+5.0)/(1-(((MIN(($S4),99))/100))+5.0))))*100))/100))*0.96)),(((((MIN(($S3),99))/100))+5.0)/(1-(((MIN(($S3),99))/100))+5.0))))*100))/100))*0.96)),(((((MIN((S2),99))/100))+5.0)/(1-(((MIN((S2),99))/100))+5.0))))*100))/100))*0.96)),(((((MIN(($S1),99))/100))+5.0)/(1-(((MIN(($S1),99))/100))+5.0))))*100),0)</f>
        <v/>
      </c>
      <c r="T1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(48)/100))*0.96)),(((((MIN(($S16),99))/100))+5.0)/(1-(((MIN(($S16),99))/100))+5.0))))*100))/100))*0.96)),(((((MIN(($R16),99))/100))+5.0)/(1-(((MIN(($R16),99))/100))+5.0))))*100))/100))*0.96)),(((((MIN((Q16),99))/100))+5.0)/(1-(((MIN((Q16),99))/100))+5.0))))*100))/100))*0.96)),(((((MIN(($P$16),99))/100))+5.0)/(1-(((MIN(($P$16),99))/100))+5.0))))*100))/100))*0.96)),(((((MIN((O$16),99))/100))+5.0)/(1-(((MIN((O$16),99))/100))+5.0))))*100))/100))*0.96)),(((((MIN(($N$16),99))/100))+5.0)/(1-(((MIN(($N$16),99))/100))+5.0))))*100))/100))*0.96)),(((((MIN(($M16),99))/100))+5.0)/(1-(((MIN(($M16),99))/100))+5.0))))*100))/100))*0.96)),(((((MIN(($L$16),99))/100))+5.0)/(1-(((MIN(($L$16),99))/100))+5.0))))*100))/100))*0.96)),(((((MIN((T$15),99))/100))+5.0)/(1-(((MIN((T$15),99))/100))+5.0))))*100))/100))*0.96)),(((((MIN((T14),99))/100))+5.0)/(1-(((MIN((T14),99))/100))+5.0))))*100))/100))*0.96)),(((((MIN((T13),99))/100))+5.0)/(1-(((MIN((T13),99))/100))+5.0))))*100))/100))*0.96)),(((((MIN(($T$12),99))/100))+5.0)/(1-(((MIN(($T$12),99))/100))+5.0))))*100))/100))*0.96)),(((((MIN((T11),99))/100))+5.0)/(1-(((MIN((T11),99))/100))+5.0))))*100))/100))*0.96)),(((((MIN((T10),99))/100))+5.0)/(1-(((MIN((T10),99))/100))+5.0))))*100))/100))*0.96)),(((((MIN(($T9),99))/100))+5.0)/(1-(((MIN(($T9),99))/100))+5.0))))*100))/100))*0.96)),(((((MIN((T8),99))/100))+5.0)/(1-(((MIN((T8),99))/100))+5.0))))*100))/100))*0.96)),(((((MIN(($T$7),99))/100))+5.0)/(1-(((MIN(($T$7),99))/100))+5.0))))*100))/100))*0.96)),(((((MIN((T$6),99))/100))+5.0)/(1-(((MIN((T$6),99))/100))+5.0))))*100))/100))*0.96)),(((((MIN(($T$5),99))/100))+5.0)/(1-(((MIN(($T$5),99))/100))+5.0))))*100))/100))*0.96)),(((((MIN(($T$4),99))/100))+5.0)/(1-(((MIN(($T$4),99))/100))+5.0))))*100))/100))*0.96)),(((((MIN(($T3),99))/100))+5.0)/(1-(((MIN(($T3),99))/100))+5.0))))*100))/100))*0.96)),(((((MIN((T$2),99))/100))+5.0)/(1-(((MIN((T$2),99))/100))+5.0))))*100))/100))*0.96)),(((((MIN((T$1),99))/100))+5.0)/(1-(((MIN((T$1),99))/100))+5.0))))*100),0)</f>
        <v/>
      </c>
    </row>
    <row r="17">
      <c r="A1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(42)/100))*0.96)),(((((MIN((A16),99))/100))+5.0)/(1-(((MIN((A16),99))/100))+5.0))))*100))/100))*0.96)),(((((MIN(($A$15),99))/100))+5.0)/(1-(((MIN(($A$15),99))/100))+5.0))))*100))/100))*0.96)),(((((MIN((A14),99))/100))+5.0)/(1-(((MIN((A14),99))/100))+5.0))))*100))/100))*0.96)),(((((MIN(($A$13),99))/100))+5.0)/(1-(((MIN(($A$13),99))/100))+5.0))))*100))/100))*0.96)),(((((MIN((A12),99))/100))+5.0)/(1-(((MIN((A12),99))/100))+5.0))))*100))/100))*0.96)),(((((MIN(($A$11),99))/100))+5.0)/(1-(((MIN(($A$11),99))/100))+5.0))))*100))/100))*0.96)),(((((MIN(($A10),99))/100))+5.0)/(1-(((MIN(($A10),99))/100))+5.0))))*100))/100))*0.96)),(((((MIN(($A$9),99))/100))+5.0)/(1-(((MIN(($A$9),99))/100))+5.0))))*100))/100))*0.96)),(((((MIN((A$8),99))/100))+5.0)/(1-(((MIN((A$8),99))/100))+5.0))))*100))/100))*0.96)),(((((MIN((A7),99))/100))+5.0)/(1-(((MIN((A7),99))/100))+5.0))))*100))/100))*0.96)),(((((MIN((A$6),99))/100))+5.0)/(1-(((MIN((A$6),99))/100))+5.0))))*100))/100))*0.96)),(((((MIN(($A5),99))/100))+5.0)/(1-(((MIN(($A5),99))/100))+5.0))))*100))/100))*0.96)),(((((MIN((A4),99))/100))+5.0)/(1-(((MIN((A4),99))/100))+5.0))))*100))/100))*0.96)),(((((MIN((A3),99))/100))+5.0)/(1-(((MIN((A3),99))/100))+5.0))))*100))/100))*0.96)),(((((MIN((A$2),99))/100))+5.0)/(1-(((MIN((A$2),99))/100))+5.0))))*100))/100))*0.96)),(((((MIN((A$1),99))/100))+5.0)/(1-(((MIN((A$1),99))/100))+5.0))))*100),0)</f>
        <v/>
      </c>
      <c r="B1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(11)/100))*0.96)),(((((MIN(($A17),99))/100))+5.0)/(1-(((MIN(($A17),99))/100))+5.0))))*100))/100))*0.96)),(((((MIN((B$16),99))/100))+5.0)/(1-(((MIN((B$16),99))/100))+5.0))))*100))/100))*0.96)),(((((MIN((B$15),99))/100))+5.0)/(1-(((MIN((B$15),99))/100))+5.0))))*100))/100))*0.96)),(((((MIN((B$14),99))/100))+5.0)/(1-(((MIN((B$14),99))/100))+5.0))))*100))/100))*0.96)),(((((MIN((B13),99))/100))+5.0)/(1-(((MIN((B13),99))/100))+5.0))))*100))/100))*0.96)),(((((MIN(($B$12),99))/100))+5.0)/(1-(((MIN(($B$12),99))/100))+5.0))))*100))/100))*0.96)),(((((MIN(($B11),99))/100))+5.0)/(1-(((MIN(($B11),99))/100))+5.0))))*100))/100))*0.96)),(((((MIN((B$10),99))/100))+5.0)/(1-(((MIN((B$10),99))/100))+5.0))))*100))/100))*0.96)),(((((MIN((B$9),99))/100))+5.0)/(1-(((MIN((B$9),99))/100))+5.0))))*100))/100))*0.96)),(((((MIN(($B8),99))/100))+5.0)/(1-(((MIN(($B8),99))/100))+5.0))))*100))/100))*0.96)),(((((MIN(($B$7),99))/100))+5.0)/(1-(((MIN(($B$7),99))/100))+5.0))))*100))/100))*0.96)),(((((MIN(($B$6),99))/100))+5.0)/(1-(((MIN(($B$6),99))/100))+5.0))))*100))/100))*0.96)),(((((MIN(($B$5),99))/100))+5.0)/(1-(((MIN(($B$5),99))/100))+5.0))))*100))/100))*0.96)),(((((MIN((B$4),99))/100))+5.0)/(1-(((MIN((B$4),99))/100))+5.0))))*100))/100))*0.96)),(((((MIN(($B$3),99))/100))+5.0)/(1-(((MIN(($B$3),99))/100))+5.0))))*100))/100))*0.96)),(((((MIN(($B$2),99))/100))+5.0)/(1-(((MIN(($B$2),99))/100))+5.0))))*100))/100))*0.96)),(((((MIN((B$1),99))/100))+5.0)/(1-(((MIN((B$1),99))/100))+5.0))))*100),0)</f>
        <v/>
      </c>
      <c r="C1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(38)/100))*0.96)),(((((MIN((B17),99))/100))+5.0)/(1-(((MIN((B17),99))/100))+5.0))))*100))/100))*0.96)),(((((MIN(($A17),99))/100))+5.0)/(1-(((MIN(($A17),99))/100))+5.0))))*100))/100))*0.96)),(((((MIN((C$16),99))/100))+5.0)/(1-(((MIN((C$16),99))/100))+5.0))))*100))/100))*0.96)),(((((MIN((C$15),99))/100))+5.0)/(1-(((MIN((C$15),99))/100))+5.0))))*100))/100))*0.96)),(((((MIN((C$14),99))/100))+5.0)/(1-(((MIN((C$14),99))/100))+5.0))))*100))/100))*0.96)),(((((MIN((C13),99))/100))+5.0)/(1-(((MIN((C13),99))/100))+5.0))))*100))/100))*0.96)),(((((MIN((C12),99))/100))+5.0)/(1-(((MIN((C12),99))/100))+5.0))))*100))/100))*0.96)),(((((MIN(($C$11),99))/100))+5.0)/(1-(((MIN(($C$11),99))/100))+5.0))))*100))/100))*0.96)),(((((MIN((C10),99))/100))+5.0)/(1-(((MIN((C10),99))/100))+5.0))))*100))/100))*0.96)),(((((MIN((C$9),99))/100))+5.0)/(1-(((MIN((C$9),99))/100))+5.0))))*100))/100))*0.96)),(((((MIN(($C$8),99))/100))+5.0)/(1-(((MIN(($C$8),99))/100))+5.0))))*100))/100))*0.96)),(((((MIN(($C$7),99))/100))+5.0)/(1-(((MIN(($C$7),99))/100))+5.0))))*100))/100))*0.96)),(((((MIN(($C6),99))/100))+5.0)/(1-(((MIN(($C6),99))/100))+5.0))))*100))/100))*0.96)),(((((MIN((C5),99))/100))+5.0)/(1-(((MIN((C5),99))/100))+5.0))))*100))/100))*0.96)),(((((MIN(($C4),99))/100))+5.0)/(1-(((MIN(($C4),99))/100))+5.0))))*100))/100))*0.96)),(((((MIN(($C3),99))/100))+5.0)/(1-(((MIN(($C3),99))/100))+5.0))))*100))/100))*0.96)),(((((MIN((C$2),99))/100))+5.0)/(1-(((MIN((C$2),99))/100))+5.0))))*100))/100))*0.96)),(((((MIN(($C$1),99))/100))+5.0)/(1-(((MIN(($C$1),99))/100))+5.0))))*100),0)</f>
        <v/>
      </c>
      <c r="D1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(81)/100))*0.96)),(((((MIN(($C$17),99))/100))+5.0)/(1-(((MIN(($C$17),99))/100))+5.0))))*100))/100))*0.96)),(((((MIN(($B17),99))/100))+5.0)/(1-(((MIN(($B17),99))/100))+5.0))))*100))/100))*0.96)),(((((MIN(($A$17),99))/100))+5.0)/(1-(((MIN(($A$17),99))/100))+5.0))))*100))/100))*0.96)),(((((MIN(($D$16),99))/100))+5.0)/(1-(((MIN(($D$16),99))/100))+5.0))))*100))/100))*0.96)),(((((MIN((D15),99))/100))+5.0)/(1-(((MIN((D15),99))/100))+5.0))))*100))/100))*0.96)),(((((MIN((D$14),99))/100))+5.0)/(1-(((MIN((D$14),99))/100))+5.0))))*100))/100))*0.96)),(((((MIN(($D$13),99))/100))+5.0)/(1-(((MIN(($D$13),99))/100))+5.0))))*100))/100))*0.96)),(((((MIN((D$12),99))/100))+5.0)/(1-(((MIN((D$12),99))/100))+5.0))))*100))/100))*0.96)),(((((MIN((D11),99))/100))+5.0)/(1-(((MIN((D11),99))/100))+5.0))))*100))/100))*0.96)),(((((MIN((D10),99))/100))+5.0)/(1-(((MIN((D10),99))/100))+5.0))))*100))/100))*0.96)),(((((MIN(($D9),99))/100))+5.0)/(1-(((MIN(($D9),99))/100))+5.0))))*100))/100))*0.96)),(((((MIN((D$8),99))/100))+5.0)/(1-(((MIN((D$8),99))/100))+5.0))))*100))/100))*0.96)),(((((MIN(($D7),99))/100))+5.0)/(1-(((MIN(($D7),99))/100))+5.0))))*100))/100))*0.96)),(((((MIN((D6),99))/100))+5.0)/(1-(((MIN((D6),99))/100))+5.0))))*100))/100))*0.96)),(((((MIN(($D$5),99))/100))+5.0)/(1-(((MIN(($D$5),99))/100))+5.0))))*100))/100))*0.96)),(((((MIN((D$4),99))/100))+5.0)/(1-(((MIN((D$4),99))/100))+5.0))))*100))/100))*0.96)),(((((MIN(($D$3),99))/100))+5.0)/(1-(((MIN(($D$3),99))/100))+5.0))))*100))/100))*0.96)),(((((MIN((D2),99))/100))+5.0)/(1-(((MIN((D2),99))/100))+5.0))))*100))/100))*0.96)),(((((MIN((D1),99))/100))+5.0)/(1-(((MIN((D1),99))/100))+5.0))))*100),0)</f>
        <v/>
      </c>
      <c r="E1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(51)/100))*0.96)),(((((MIN((D17),99))/100))+5.0)/(1-(((MIN((D17),99))/100))+5.0))))*100))/100))*0.96)),(((((MIN(($C17),99))/100))+5.0)/(1-(((MIN(($C17),99))/100))+5.0))))*100))/100))*0.96)),(((((MIN(($B$17),99))/100))+5.0)/(1-(((MIN(($B$17),99))/100))+5.0))))*100))/100))*0.96)),(((((MIN((A17),99))/100))+5.0)/(1-(((MIN((A17),99))/100))+5.0))))*100))/100))*0.96)),(((((MIN((E16),99))/100))+5.0)/(1-(((MIN((E16),99))/100))+5.0))))*100))/100))*0.96)),(((((MIN((E15),99))/100))+5.0)/(1-(((MIN((E15),99))/100))+5.0))))*100))/100))*0.96)),(((((MIN((E14),99))/100))+5.0)/(1-(((MIN((E14),99))/100))+5.0))))*100))/100))*0.96)),(((((MIN(($E$13),99))/100))+5.0)/(1-(((MIN(($E$13),99))/100))+5.0))))*100))/100))*0.96)),(((((MIN(($E$12),99))/100))+5.0)/(1-(((MIN(($E$12),99))/100))+5.0))))*100))/100))*0.96)),(((((MIN(($E11),99))/100))+5.0)/(1-(((MIN(($E11),99))/100))+5.0))))*100))/100))*0.96)),(((((MIN(($E$10),99))/100))+5.0)/(1-(((MIN(($E$10),99))/100))+5.0))))*100))/100))*0.96)),(((((MIN((E$9),99))/100))+5.0)/(1-(((MIN((E$9),99))/100))+5.0))))*100))/100))*0.96)),(((((MIN((E8),99))/100))+5.0)/(1-(((MIN((E8),99))/100))+5.0))))*100))/100))*0.96)),(((((MIN(($E7),99))/100))+5.0)/(1-(((MIN(($E7),99))/100))+5.0))))*100))/100))*0.96)),(((((MIN((E$6),99))/100))+5.0)/(1-(((MIN((E$6),99))/100))+5.0))))*100))/100))*0.96)),(((((MIN((E5),99))/100))+5.0)/(1-(((MIN((E5),99))/100))+5.0))))*100))/100))*0.96)),(((((MIN((E4),99))/100))+5.0)/(1-(((MIN((E4),99))/100))+5.0))))*100))/100))*0.96)),(((((MIN(($E3),99))/100))+5.0)/(1-(((MIN(($E3),99))/100))+5.0))))*100))/100))*0.96)),(((((MIN(($E2),99))/100))+5.0)/(1-(((MIN(($E2),99))/100))+5.0))))*100))/100))*0.96)),(((((MIN(($E$1),99))/100))+5.0)/(1-(((MIN(($E$1),99))/100))+5.0))))*100),0)</f>
        <v/>
      </c>
      <c r="F1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(35)/100))*0.96)),(((((MIN((E17),99))/100))+5.0)/(1-(((MIN((E17),99))/100))+5.0))))*100))/100))*0.96)),(((((MIN((D17),99))/100))+5.0)/(1-(((MIN((D17),99))/100))+5.0))))*100))/100))*0.96)),(((((MIN((C17),99))/100))+5.0)/(1-(((MIN((C17),99))/100))+5.0))))*100))/100))*0.96)),(((((MIN((B$17),99))/100))+5.0)/(1-(((MIN((B$17),99))/100))+5.0))))*100))/100))*0.96)),(((((MIN(($A$17),99))/100))+5.0)/(1-(((MIN(($A$17),99))/100))+5.0))))*100))/100))*0.96)),(((((MIN(($F$16),99))/100))+5.0)/(1-(((MIN(($F$16),99))/100))+5.0))))*100))/100))*0.96)),(((((MIN((F15),99))/100))+5.0)/(1-(((MIN((F15),99))/100))+5.0))))*100))/100))*0.96)),(((((MIN(($F14),99))/100))+5.0)/(1-(((MIN(($F14),99))/100))+5.0))))*100))/100))*0.96)),(((((MIN((F$13),99))/100))+5.0)/(1-(((MIN((F$13),99))/100))+5.0))))*100))/100))*0.96)),(((((MIN(($F$12),99))/100))+5.0)/(1-(((MIN(($F$12),99))/100))+5.0))))*100))/100))*0.96)),(((((MIN(($F11),99))/100))+5.0)/(1-(((MIN(($F11),99))/100))+5.0))))*100))/100))*0.96)),(((((MIN(($F$10),99))/100))+5.0)/(1-(((MIN(($F$10),99))/100))+5.0))))*100))/100))*0.96)),(((((MIN((F9),99))/100))+5.0)/(1-(((MIN((F9),99))/100))+5.0))))*100))/100))*0.96)),(((((MIN((F8),99))/100))+5.0)/(1-(((MIN((F8),99))/100))+5.0))))*100))/100))*0.96)),(((((MIN(($F$7),99))/100))+5.0)/(1-(((MIN(($F$7),99))/100))+5.0))))*100))/100))*0.96)),(((((MIN(($F6),99))/100))+5.0)/(1-(((MIN(($F6),99))/100))+5.0))))*100))/100))*0.96)),(((((MIN(($F5),99))/100))+5.0)/(1-(((MIN(($F5),99))/100))+5.0))))*100))/100))*0.96)),(((((MIN(($F$4),99))/100))+5.0)/(1-(((MIN(($F$4),99))/100))+5.0))))*100))/100))*0.96)),(((((MIN((F3),99))/100))+5.0)/(1-(((MIN((F3),99))/100))+5.0))))*100))/100))*0.96)),(((((MIN((F$2),99))/100))+5.0)/(1-(((MIN((F$2),99))/100))+5.0))))*100))/100))*0.96)),(((((MIN(($F1),99))/100))+5.0)/(1-(((MIN(($F1),99))/100))+5.0))))*100),0)</f>
        <v/>
      </c>
      <c r="G1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(89)/100))*0.96)),(((((MIN((F17),99))/100))+5.0)/(1-(((MIN((F17),99))/100))+5.0))))*100))/100))*0.96)),(((((MIN(($E17),99))/100))+5.0)/(1-(((MIN(($E17),99))/100))+5.0))))*100))/100))*0.96)),(((((MIN((D17),99))/100))+5.0)/(1-(((MIN((D17),99))/100))+5.0))))*100))/100))*0.96)),(((((MIN((C17),99))/100))+5.0)/(1-(((MIN((C17),99))/100))+5.0))))*100))/100))*0.96)),(((((MIN(($B17),99))/100))+5.0)/(1-(((MIN(($B17),99))/100))+5.0))))*100))/100))*0.96)),(((((MIN((A17),99))/100))+5.0)/(1-(((MIN((A17),99))/100))+5.0))))*100))/100))*0.96)),(((((MIN(($G16),99))/100))+5.0)/(1-(((MIN(($G16),99))/100))+5.0))))*100))/100))*0.96)),(((((MIN((G15),99))/100))+5.0)/(1-(((MIN((G15),99))/100))+5.0))))*100))/100))*0.96)),(((((MIN((G$14),99))/100))+5.0)/(1-(((MIN((G$14),99))/100))+5.0))))*100))/100))*0.96)),(((((MIN((G$13),99))/100))+5.0)/(1-(((MIN((G$13),99))/100))+5.0))))*100))/100))*0.96)),(((((MIN(($G$12),99))/100))+5.0)/(1-(((MIN(($G$12),99))/100))+5.0))))*100))/100))*0.96)),(((((MIN((G11),99))/100))+5.0)/(1-(((MIN((G11),99))/100))+5.0))))*100))/100))*0.96)),(((((MIN((G10),99))/100))+5.0)/(1-(((MIN((G10),99))/100))+5.0))))*100))/100))*0.96)),(((((MIN((G$9),99))/100))+5.0)/(1-(((MIN((G$9),99))/100))+5.0))))*100))/100))*0.96)),(((((MIN((G$8),99))/100))+5.0)/(1-(((MIN((G$8),99))/100))+5.0))))*100))/100))*0.96)),(((((MIN((G7),99))/100))+5.0)/(1-(((MIN((G7),99))/100))+5.0))))*100))/100))*0.96)),(((((MIN(($G$6),99))/100))+5.0)/(1-(((MIN(($G$6),99))/100))+5.0))))*100))/100))*0.96)),(((((MIN(($G$5),99))/100))+5.0)/(1-(((MIN(($G$5),99))/100))+5.0))))*100))/100))*0.96)),(((((MIN(($G$4),99))/100))+5.0)/(1-(((MIN(($G$4),99))/100))+5.0))))*100))/100))*0.96)),(((((MIN(($G3),99))/100))+5.0)/(1-(((MIN(($G3),99))/100))+5.0))))*100))/100))*0.96)),(((((MIN(($G$2),99))/100))+5.0)/(1-(((MIN(($G$2),99))/100))+5.0))))*100))/100))*0.96)),(((((MIN(($G$1),99))/100))+5.0)/(1-(((MIN(($G$1),99))/100))+5.0))))*100),0)</f>
        <v/>
      </c>
      <c r="H1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(40)/100))*0.96)),(((((MIN(($G17),99))/100))+5.0)/(1-(((MIN(($G17),99))/100))+5.0))))*100))/100))*0.96)),(((((MIN((F$17),99))/100))+5.0)/(1-(((MIN((F$17),99))/100))+5.0))))*100))/100))*0.96)),(((((MIN(($E$17),99))/100))+5.0)/(1-(((MIN(($E$17),99))/100))+5.0))))*100))/100))*0.96)),(((((MIN(($D17),99))/100))+5.0)/(1-(((MIN(($D17),99))/100))+5.0))))*100))/100))*0.96)),(((((MIN(($C17),99))/100))+5.0)/(1-(((MIN(($C17),99))/100))+5.0))))*100))/100))*0.96)),(((((MIN((B17),99))/100))+5.0)/(1-(((MIN((B17),99))/100))+5.0))))*100))/100))*0.96)),(((((MIN((A$17),99))/100))+5.0)/(1-(((MIN((A$17),99))/100))+5.0))))*100))/100))*0.96)),(((((MIN((H16),99))/100))+5.0)/(1-(((MIN((H16),99))/100))+5.0))))*100))/100))*0.96)),(((((MIN(($H$15),99))/100))+5.0)/(1-(((MIN(($H$15),99))/100))+5.0))))*100))/100))*0.96)),(((((MIN((H$14),99))/100))+5.0)/(1-(((MIN((H$14),99))/100))+5.0))))*100))/100))*0.96)),(((((MIN(($H$13),99))/100))+5.0)/(1-(((MIN(($H$13),99))/100))+5.0))))*100))/100))*0.96)),(((((MIN(($H12),99))/100))+5.0)/(1-(((MIN(($H12),99))/100))+5.0))))*100))/100))*0.96)),(((((MIN((H$11),99))/100))+5.0)/(1-(((MIN((H$11),99))/100))+5.0))))*100))/100))*0.96)),(((((MIN((H10),99))/100))+5.0)/(1-(((MIN((H10),99))/100))+5.0))))*100))/100))*0.96)),(((((MIN((H$9),99))/100))+5.0)/(1-(((MIN((H$9),99))/100))+5.0))))*100))/100))*0.96)),(((((MIN((H8),99))/100))+5.0)/(1-(((MIN((H8),99))/100))+5.0))))*100))/100))*0.96)),(((((MIN((H7),99))/100))+5.0)/(1-(((MIN((H7),99))/100))+5.0))))*100))/100))*0.96)),(((((MIN((H6),99))/100))+5.0)/(1-(((MIN((H6),99))/100))+5.0))))*100))/100))*0.96)),(((((MIN((H5),99))/100))+5.0)/(1-(((MIN((H5),99))/100))+5.0))))*100))/100))*0.96)),(((((MIN((H$4),99))/100))+5.0)/(1-(((MIN((H$4),99))/100))+5.0))))*100))/100))*0.96)),(((((MIN((H$3),99))/100))+5.0)/(1-(((MIN((H$3),99))/100))+5.0))))*100))/100))*0.96)),(((((MIN(($H2),99))/100))+5.0)/(1-(((MIN(($H2),99))/100))+5.0))))*100))/100))*0.96)),(((((MIN(($H$1),99))/100))+5.0)/(1-(((MIN(($H$1),99))/100))+5.0))))*100),0)</f>
        <v/>
      </c>
      <c r="I1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(7)/100))*0.96)),(((((MIN((H$17),99))/100))+5.0)/(1-(((MIN((H$17),99))/100))+5.0))))*100))/100))*0.96)),(((((MIN(($G$17),99))/100))+5.0)/(1-(((MIN(($G$17),99))/100))+5.0))))*100))/100))*0.96)),(((((MIN(($F17),99))/100))+5.0)/(1-(((MIN(($F17),99))/100))+5.0))))*100))/100))*0.96)),(((((MIN(($E17),99))/100))+5.0)/(1-(((MIN(($E17),99))/100))+5.0))))*100))/100))*0.96)),(((((MIN((D17),99))/100))+5.0)/(1-(((MIN((D17),99))/100))+5.0))))*100))/100))*0.96)),(((((MIN(($C$17),99))/100))+5.0)/(1-(((MIN(($C$17),99))/100))+5.0))))*100))/100))*0.96)),(((((MIN((B$17),99))/100))+5.0)/(1-(((MIN((B$17),99))/100))+5.0))))*100))/100))*0.96)),(((((MIN((A17),99))/100))+5.0)/(1-(((MIN((A17),99))/100))+5.0))))*100))/100))*0.96)),(((((MIN((I$16),99))/100))+5.0)/(1-(((MIN((I$16),99))/100))+5.0))))*100))/100))*0.96)),(((((MIN(($I15),99))/100))+5.0)/(1-(((MIN(($I15),99))/100))+5.0))))*100))/100))*0.96)),(((((MIN((I$14),99))/100))+5.0)/(1-(((MIN((I$14),99))/100))+5.0))))*100))/100))*0.96)),(((((MIN(($I13),99))/100))+5.0)/(1-(((MIN(($I13),99))/100))+5.0))))*100))/100))*0.96)),(((((MIN(($I12),99))/100))+5.0)/(1-(((MIN(($I12),99))/100))+5.0))))*100))/100))*0.96)),(((((MIN(($I$11),99))/100))+5.0)/(1-(((MIN(($I$11),99))/100))+5.0))))*100))/100))*0.96)),(((((MIN((I10),99))/100))+5.0)/(1-(((MIN((I10),99))/100))+5.0))))*100))/100))*0.96)),(((((MIN((I$9),99))/100))+5.0)/(1-(((MIN((I$9),99))/100))+5.0))))*100))/100))*0.96)),(((((MIN((I8),99))/100))+5.0)/(1-(((MIN((I8),99))/100))+5.0))))*100))/100))*0.96)),(((((MIN((I$7),99))/100))+5.0)/(1-(((MIN((I$7),99))/100))+5.0))))*100))/100))*0.96)),(((((MIN((I$6),99))/100))+5.0)/(1-(((MIN((I$6),99))/100))+5.0))))*100))/100))*0.96)),(((((MIN(($I5),99))/100))+5.0)/(1-(((MIN(($I5),99))/100))+5.0))))*100))/100))*0.96)),(((((MIN(($I$4),99))/100))+5.0)/(1-(((MIN(($I$4),99))/100))+5.0))))*100))/100))*0.96)),(((((MIN(($I3),99))/100))+5.0)/(1-(((MIN(($I3),99))/100))+5.0))))*100))/100))*0.96)),(((((MIN(($I2),99))/100))+5.0)/(1-(((MIN(($I2),99))/100))+5.0))))*100))/100))*0.96)),(((((MIN((I$1),99))/100))+5.0)/(1-(((MIN((I$1),99))/100))+5.0))))*100),0)</f>
        <v/>
      </c>
      <c r="J1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(34)/100))*0.96)),(((((MIN((I17),99))/100))+5.0)/(1-(((MIN((I17),99))/100))+5.0))))*100))/100))*0.96)),(((((MIN((H17),99))/100))+5.0)/(1-(((MIN((H17),99))/100))+5.0))))*100))/100))*0.96)),(((((MIN((G17),99))/100))+5.0)/(1-(((MIN((G17),99))/100))+5.0))))*100))/100))*0.96)),(((((MIN(($F$17),99))/100))+5.0)/(1-(((MIN(($F$17),99))/100))+5.0))))*100))/100))*0.96)),(((((MIN((E$17),99))/100))+5.0)/(1-(((MIN((E$17),99))/100))+5.0))))*100))/100))*0.96)),(((((MIN((D$17),99))/100))+5.0)/(1-(((MIN((D$17),99))/100))+5.0))))*100))/100))*0.96)),(((((MIN(($C17),99))/100))+5.0)/(1-(((MIN(($C17),99))/100))+5.0))))*100))/100))*0.96)),(((((MIN(($B17),99))/100))+5.0)/(1-(((MIN(($B17),99))/100))+5.0))))*100))/100))*0.96)),(((((MIN((J$16),99))/100))+5.0)/(1-(((MIN((J$16),99))/100))+5.0))))*100))/100))*0.96)),(((((MIN(($J$15),99))/100))+5.0)/(1-(((MIN(($J$15),99))/100))+5.0))))*100))/100))*0.96)),(((((MIN((J$14),99))/100))+5.0)/(1-(((MIN((J$14),99))/100))+5.0))))*100))/100))*0.96)),(((((MIN((J$13),99))/100))+5.0)/(1-(((MIN((J$13),99))/100))+5.0))))*100))/100))*0.96)),(((((MIN(($J12),99))/100))+5.0)/(1-(((MIN(($J12),99))/100))+5.0))))*100))/100))*0.96)),(((((MIN(($J11),99))/100))+5.0)/(1-(((MIN(($J11),99))/100))+5.0))))*100))/100))*0.96)),(((((MIN(($J$10),99))/100))+5.0)/(1-(((MIN(($J$10),99))/100))+5.0))))*100))/100))*0.96)),(((((MIN(($J9),99))/100))+5.0)/(1-(((MIN(($J9),99))/100))+5.0))))*100))/100))*0.96)),(((((MIN(($J$8),99))/100))+5.0)/(1-(((MIN(($J$8),99))/100))+5.0))))*100))/100))*0.96)),(((((MIN((J$7),99))/100))+5.0)/(1-(((MIN((J$7),99))/100))+5.0))))*100))/100))*0.96)),(((((MIN((J$6),99))/100))+5.0)/(1-(((MIN((J$6),99))/100))+5.0))))*100))/100))*0.96)),(((((MIN(($J5),99))/100))+5.0)/(1-(((MIN(($J5),99))/100))+5.0))))*100))/100))*0.96)),(((((MIN(($J$4),99))/100))+5.0)/(1-(((MIN(($J$4),99))/100))+5.0))))*100))/100))*0.96)),(((((MIN((J$3),99))/100))+5.0)/(1-(((MIN((J$3),99))/100))+5.0))))*100))/100))*0.96)),(((((MIN((J$2),99))/100))+5.0)/(1-(((MIN((J$2),99))/100))+5.0))))*100))/100))*0.96)),(((((MIN(($J1),99))/100))+5.0)/(1-(((MIN(($J1),99))/100))+5.0))))*100),0)</f>
        <v/>
      </c>
      <c r="K1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(35)/100))*0.96)),(((((MIN((J17),99))/100))+5.0)/(1-(((MIN((J17),99))/100))+5.0))))*100))/100))*0.96)),(((((MIN((I$17),99))/100))+5.0)/(1-(((MIN((I$17),99))/100))+5.0))))*100))/100))*0.96)),(((((MIN((H$17),99))/100))+5.0)/(1-(((MIN((H$17),99))/100))+5.0))))*100))/100))*0.96)),(((((MIN(($G$17),99))/100))+5.0)/(1-(((MIN(($G$17),99))/100))+5.0))))*100))/100))*0.96)),(((((MIN((F$17),99))/100))+5.0)/(1-(((MIN((F$17),99))/100))+5.0))))*100))/100))*0.96)),(((((MIN(($E$17),99))/100))+5.0)/(1-(((MIN(($E$17),99))/100))+5.0))))*100))/100))*0.96)),(((((MIN(($D17),99))/100))+5.0)/(1-(((MIN(($D17),99))/100))+5.0))))*100))/100))*0.96)),(((((MIN(($C$17),99))/100))+5.0)/(1-(((MIN(($C$17),99))/100))+5.0))))*100))/100))*0.96)),(((((MIN(($K16),99))/100))+5.0)/(1-(((MIN(($K16),99))/100))+5.0))))*100))/100))*0.96)),(((((MIN((K$15),99))/100))+5.0)/(1-(((MIN((K$15),99))/100))+5.0))))*100))/100))*0.96)),(((((MIN((K$14),99))/100))+5.0)/(1-(((MIN((K$14),99))/100))+5.0))))*100))/100))*0.96)),(((((MIN(($K$13),99))/100))+5.0)/(1-(((MIN(($K$13),99))/100))+5.0))))*100))/100))*0.96)),(((((MIN(($K12),99))/100))+5.0)/(1-(((MIN(($K12),99))/100))+5.0))))*100))/100))*0.96)),(((((MIN(($K$11),99))/100))+5.0)/(1-(((MIN(($K$11),99))/100))+5.0))))*100))/100))*0.96)),(((((MIN(($K$10),99))/100))+5.0)/(1-(((MIN(($K$10),99))/100))+5.0))))*100))/100))*0.96)),(((((MIN(($K$9),99))/100))+5.0)/(1-(((MIN(($K$9),99))/100))+5.0))))*100))/100))*0.96)),(((((MIN((K8),99))/100))+5.0)/(1-(((MIN((K8),99))/100))+5.0))))*100))/100))*0.96)),(((((MIN((K7),99))/100))+5.0)/(1-(((MIN((K7),99))/100))+5.0))))*100))/100))*0.96)),(((((MIN((K6),99))/100))+5.0)/(1-(((MIN((K6),99))/100))+5.0))))*100))/100))*0.96)),(((((MIN((K$5),99))/100))+5.0)/(1-(((MIN((K$5),99))/100))+5.0))))*100))/100))*0.96)),(((((MIN(($K$4),99))/100))+5.0)/(1-(((MIN(($K$4),99))/100))+5.0))))*100))/100))*0.96)),(((((MIN((K$3),99))/100))+5.0)/(1-(((MIN((K$3),99))/100))+5.0))))*100))/100))*0.96)),(((((MIN(($K2),99))/100))+5.0)/(1-(((MIN(($K2),99))/100))+5.0))))*100))/100))*0.96)),(((((MIN(($K$1),99))/100))+5.0)/(1-(((MIN(($K$1),99))/100))+5.0))))*100),0)</f>
        <v/>
      </c>
      <c r="L1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(32)/100))*0.96)),(((((MIN(($K$17),99))/100))+5.0)/(1-(((MIN(($K$17),99))/100))+5.0))))*100))/100))*0.96)),(((((MIN(($J$17),99))/100))+5.0)/(1-(((MIN(($J$17),99))/100))+5.0))))*100))/100))*0.96)),(((((MIN(($I$17),99))/100))+5.0)/(1-(((MIN(($I$17),99))/100))+5.0))))*100))/100))*0.96)),(((((MIN((H17),99))/100))+5.0)/(1-(((MIN((H17),99))/100))+5.0))))*100))/100))*0.96)),(((((MIN(($G17),99))/100))+5.0)/(1-(((MIN(($G17),99))/100))+5.0))))*100))/100))*0.96)),(((((MIN((F$17),99))/100))+5.0)/(1-(((MIN((F$17),99))/100))+5.0))))*100))/100))*0.96)),(((((MIN(($E$17),99))/100))+5.0)/(1-(((MIN(($E$17),99))/100))+5.0))))*100))/100))*0.96)),(((((MIN(($D$17),99))/100))+5.0)/(1-(((MIN(($D$17),99))/100))+5.0))))*100))/100))*0.96)),(((((MIN((L16),99))/100))+5.0)/(1-(((MIN((L16),99))/100))+5.0))))*100))/100))*0.96)),(((((MIN(($L15),99))/100))+5.0)/(1-(((MIN(($L15),99))/100))+5.0))))*100))/100))*0.96)),(((((MIN((L$14),99))/100))+5.0)/(1-(((MIN((L$14),99))/100))+5.0))))*100))/100))*0.96)),(((((MIN((L13),99))/100))+5.0)/(1-(((MIN((L13),99))/100))+5.0))))*100))/100))*0.96)),(((((MIN((L12),99))/100))+5.0)/(1-(((MIN((L12),99))/100))+5.0))))*100))/100))*0.96)),(((((MIN(($L11),99))/100))+5.0)/(1-(((MIN(($L11),99))/100))+5.0))))*100))/100))*0.96)),(((((MIN(($L10),99))/100))+5.0)/(1-(((MIN(($L10),99))/100))+5.0))))*100))/100))*0.96)),(((((MIN((L$9),99))/100))+5.0)/(1-(((MIN((L$9),99))/100))+5.0))))*100))/100))*0.96)),(((((MIN((L8),99))/100))+5.0)/(1-(((MIN((L8),99))/100))+5.0))))*100))/100))*0.96)),(((((MIN((L7),99))/100))+5.0)/(1-(((MIN((L7),99))/100))+5.0))))*100))/100))*0.96)),(((((MIN((L6),99))/100))+5.0)/(1-(((MIN((L6),99))/100))+5.0))))*100))/100))*0.96)),(((((MIN(($L$5),99))/100))+5.0)/(1-(((MIN(($L$5),99))/100))+5.0))))*100))/100))*0.96)),(((((MIN((L$4),99))/100))+5.0)/(1-(((MIN((L$4),99))/100))+5.0))))*100))/100))*0.96)),(((((MIN((L3),99))/100))+5.0)/(1-(((MIN((L3),99))/100))+5.0))))*100))/100))*0.96)),(((((MIN(($L2),99))/100))+5.0)/(1-(((MIN(($L2),99))/100))+5.0))))*100))/100))*0.96)),(((((MIN(($L$1),99))/100))+5.0)/(1-(((MIN(($L$1),99))/100))+5.0))))*100),0)</f>
        <v/>
      </c>
      <c r="M1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(74)/100))*0.96)),(((((MIN(($L17),99))/100))+5.0)/(1-(((MIN(($L17),99))/100))+5.0))))*100))/100))*0.96)),(((((MIN((K17),99))/100))+5.0)/(1-(((MIN((K17),99))/100))+5.0))))*100))/100))*0.96)),(((((MIN((J$17),99))/100))+5.0)/(1-(((MIN((J$17),99))/100))+5.0))))*100))/100))*0.96)),(((((MIN((I$17),99))/100))+5.0)/(1-(((MIN((I$17),99))/100))+5.0))))*100))/100))*0.96)),(((((MIN(($H$17),99))/100))+5.0)/(1-(((MIN(($H$17),99))/100))+5.0))))*100))/100))*0.96)),(((((MIN(($G17),99))/100))+5.0)/(1-(((MIN(($G17),99))/100))+5.0))))*100))/100))*0.96)),(((((MIN(($F17),99))/100))+5.0)/(1-(((MIN(($F17),99))/100))+5.0))))*100))/100))*0.96)),(((((MIN(($E$17),99))/100))+5.0)/(1-(((MIN(($E$17),99))/100))+5.0))))*100))/100))*0.96)),(((((MIN((M$16),99))/100))+5.0)/(1-(((MIN((M$16),99))/100))+5.0))))*100))/100))*0.96)),(((((MIN((M15),99))/100))+5.0)/(1-(((MIN((M15),99))/100))+5.0))))*100))/100))*0.96)),(((((MIN((M14),99))/100))+5.0)/(1-(((MIN((M14),99))/100))+5.0))))*100))/100))*0.96)),(((((MIN(($M13),99))/100))+5.0)/(1-(((MIN(($M13),99))/100))+5.0))))*100))/100))*0.96)),(((((MIN((M12),99))/100))+5.0)/(1-(((MIN((M12),99))/100))+5.0))))*100))/100))*0.96)),(((((MIN((M11),99))/100))+5.0)/(1-(((MIN((M11),99))/100))+5.0))))*100))/100))*0.96)),(((((MIN(($M$10),99))/100))+5.0)/(1-(((MIN(($M$10),99))/100))+5.0))))*100))/100))*0.96)),(((((MIN((M$9),99))/100))+5.0)/(1-(((MIN((M$9),99))/100))+5.0))))*100))/100))*0.96)),(((((MIN(($M8),99))/100))+5.0)/(1-(((MIN(($M8),99))/100))+5.0))))*100))/100))*0.96)),(((((MIN((M7),99))/100))+5.0)/(1-(((MIN((M7),99))/100))+5.0))))*100))/100))*0.96)),(((((MIN((M6),99))/100))+5.0)/(1-(((MIN((M6),99))/100))+5.0))))*100))/100))*0.96)),(((((MIN((M5),99))/100))+5.0)/(1-(((MIN((M5),99))/100))+5.0))))*100))/100))*0.96)),(((((MIN((M$4),99))/100))+5.0)/(1-(((MIN((M$4),99))/100))+5.0))))*100))/100))*0.96)),(((((MIN(($M$3),99))/100))+5.0)/(1-(((MIN(($M$3),99))/100))+5.0))))*100))/100))*0.96)),(((((MIN((M2),99))/100))+5.0)/(1-(((MIN((M2),99))/100))+5.0))))*100))/100))*0.96)),(((((MIN(($M1),99))/100))+5.0)/(1-(((MIN(($M1),99))/100))+5.0))))*100),0)</f>
        <v/>
      </c>
      <c r="N1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(92)/100))*0.96)),(((((MIN((M17),99))/100))+5.0)/(1-(((MIN((M17),99))/100))+5.0))))*100))/100))*0.96)),(((((MIN(($L$17),99))/100))+5.0)/(1-(((MIN(($L$17),99))/100))+5.0))))*100))/100))*0.96)),(((((MIN((K17),99))/100))+5.0)/(1-(((MIN((K17),99))/100))+5.0))))*100))/100))*0.96)),(((((MIN((J17),99))/100))+5.0)/(1-(((MIN((J17),99))/100))+5.0))))*100))/100))*0.96)),(((((MIN(($I$17),99))/100))+5.0)/(1-(((MIN(($I$17),99))/100))+5.0))))*100))/100))*0.96)),(((((MIN(($H17),99))/100))+5.0)/(1-(((MIN(($H17),99))/100))+5.0))))*100))/100))*0.96)),(((((MIN((G17),99))/100))+5.0)/(1-(((MIN((G17),99))/100))+5.0))))*100))/100))*0.96)),(((((MIN((F17),99))/100))+5.0)/(1-(((MIN((F17),99))/100))+5.0))))*100))/100))*0.96)),(((((MIN((N16),99))/100))+5.0)/(1-(((MIN((N16),99))/100))+5.0))))*100))/100))*0.96)),(((((MIN((N$15),99))/100))+5.0)/(1-(((MIN((N$15),99))/100))+5.0))))*100))/100))*0.96)),(((((MIN(($N14),99))/100))+5.0)/(1-(((MIN(($N14),99))/100))+5.0))))*100))/100))*0.96)),(((((MIN(($N13),99))/100))+5.0)/(1-(((MIN(($N13),99))/100))+5.0))))*100))/100))*0.96)),(((((MIN((N12),99))/100))+5.0)/(1-(((MIN((N12),99))/100))+5.0))))*100))/100))*0.96)),(((((MIN(($N$11),99))/100))+5.0)/(1-(((MIN(($N$11),99))/100))+5.0))))*100))/100))*0.96)),(((((MIN(($N10),99))/100))+5.0)/(1-(((MIN(($N10),99))/100))+5.0))))*100))/100))*0.96)),(((((MIN(($N$9),99))/100))+5.0)/(1-(((MIN(($N$9),99))/100))+5.0))))*100))/100))*0.96)),(((((MIN(($N8),99))/100))+5.0)/(1-(((MIN(($N8),99))/100))+5.0))))*100))/100))*0.96)),(((((MIN(($N7),99))/100))+5.0)/(1-(((MIN(($N7),99))/100))+5.0))))*100))/100))*0.96)),(((((MIN((N$6),99))/100))+5.0)/(1-(((MIN((N$6),99))/100))+5.0))))*100))/100))*0.96)),(((((MIN(($N$5),99))/100))+5.0)/(1-(((MIN(($N$5),99))/100))+5.0))))*100))/100))*0.96)),(((((MIN((N$4),99))/100))+5.0)/(1-(((MIN((N$4),99))/100))+5.0))))*100))/100))*0.96)),(((((MIN(($N$3),99))/100))+5.0)/(1-(((MIN(($N$3),99))/100))+5.0))))*100))/100))*0.96)),(((((MIN(($N$2),99))/100))+5.0)/(1-(((MIN(($N$2),99))/100))+5.0))))*100))/100))*0.96)),(((((MIN(($N$1),99))/100))+5.0)/(1-(((MIN(($N$1),99))/100))+5.0))))*100),0)</f>
        <v/>
      </c>
      <c r="O1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(36)/100))*0.96)),(((((MIN((N17),99))/100))+5.0)/(1-(((MIN((N17),99))/100))+5.0))))*100))/100))*0.96)),(((((MIN(($M17),99))/100))+5.0)/(1-(((MIN(($M17),99))/100))+5.0))))*100))/100))*0.96)),(((((MIN(($L17),99))/100))+5.0)/(1-(((MIN(($L17),99))/100))+5.0))))*100))/100))*0.96)),(((((MIN((K17),99))/100))+5.0)/(1-(((MIN((K17),99))/100))+5.0))))*100))/100))*0.96)),(((((MIN(($J$17),99))/100))+5.0)/(1-(((MIN(($J$17),99))/100))+5.0))))*100))/100))*0.96)),(((((MIN((I17),99))/100))+5.0)/(1-(((MIN((I17),99))/100))+5.0))))*100))/100))*0.96)),(((((MIN(($H17),99))/100))+5.0)/(1-(((MIN(($H17),99))/100))+5.0))))*100))/100))*0.96)),(((((MIN((G17),99))/100))+5.0)/(1-(((MIN((G17),99))/100))+5.0))))*100))/100))*0.96)),(((((MIN((O16),99))/100))+5.0)/(1-(((MIN((O16),99))/100))+5.0))))*100))/100))*0.96)),(((((MIN((O$15),99))/100))+5.0)/(1-(((MIN((O$15),99))/100))+5.0))))*100))/100))*0.96)),(((((MIN(($O14),99))/100))+5.0)/(1-(((MIN(($O14),99))/100))+5.0))))*100))/100))*0.96)),(((((MIN((O$13),99))/100))+5.0)/(1-(((MIN((O$13),99))/100))+5.0))))*100))/100))*0.96)),(((((MIN((O12),99))/100))+5.0)/(1-(((MIN((O12),99))/100))+5.0))))*100))/100))*0.96)),(((((MIN((O11),99))/100))+5.0)/(1-(((MIN((O11),99))/100))+5.0))))*100))/100))*0.96)),(((((MIN((O10),99))/100))+5.0)/(1-(((MIN((O10),99))/100))+5.0))))*100))/100))*0.96)),(((((MIN(($O9),99))/100))+5.0)/(1-(((MIN(($O9),99))/100))+5.0))))*100))/100))*0.96)),(((((MIN(($O$8),99))/100))+5.0)/(1-(((MIN(($O$8),99))/100))+5.0))))*100))/100))*0.96)),(((((MIN((O7),99))/100))+5.0)/(1-(((MIN((O7),99))/100))+5.0))))*100))/100))*0.96)),(((((MIN(($O$6),99))/100))+5.0)/(1-(((MIN(($O$6),99))/100))+5.0))))*100))/100))*0.96)),(((((MIN((O$5),99))/100))+5.0)/(1-(((MIN((O$5),99))/100))+5.0))))*100))/100))*0.96)),(((((MIN(($O4),99))/100))+5.0)/(1-(((MIN(($O4),99))/100))+5.0))))*100))/100))*0.96)),(((((MIN((O$3),99))/100))+5.0)/(1-(((MIN((O$3),99))/100))+5.0))))*100))/100))*0.96)),(((((MIN(($O2),99))/100))+5.0)/(1-(((MIN(($O2),99))/100))+5.0))))*100))/100))*0.96)),(((((MIN((O$1),99))/100))+5.0)/(1-(((MIN((O$1),99))/100))+5.0))))*100),0)</f>
        <v/>
      </c>
      <c r="P1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(68)/100))*0.96)),(((((MIN(($O$17),99))/100))+5.0)/(1-(((MIN(($O$17),99))/100))+5.0))))*100))/100))*0.96)),(((((MIN(($N$17),99))/100))+5.0)/(1-(((MIN(($N$17),99))/100))+5.0))))*100))/100))*0.96)),(((((MIN(($M$17),99))/100))+5.0)/(1-(((MIN(($M$17),99))/100))+5.0))))*100))/100))*0.96)),(((((MIN(($L17),99))/100))+5.0)/(1-(((MIN(($L17),99))/100))+5.0))))*100))/100))*0.96)),(((((MIN((K$17),99))/100))+5.0)/(1-(((MIN((K$17),99))/100))+5.0))))*100))/100))*0.96)),(((((MIN((J17),99))/100))+5.0)/(1-(((MIN((J17),99))/100))+5.0))))*100))/100))*0.96)),(((((MIN((I$17),99))/100))+5.0)/(1-(((MIN((I$17),99))/100))+5.0))))*100))/100))*0.96)),(((((MIN((H17),99))/100))+5.0)/(1-(((MIN((H17),99))/100))+5.0))))*100))/100))*0.96)),(((((MIN(($P16),99))/100))+5.0)/(1-(((MIN(($P16),99))/100))+5.0))))*100))/100))*0.96)),(((((MIN(($P15),99))/100))+5.0)/(1-(((MIN(($P15),99))/100))+5.0))))*100))/100))*0.96)),(((((MIN((P14),99))/100))+5.0)/(1-(((MIN((P14),99))/100))+5.0))))*100))/100))*0.96)),(((((MIN(($P$13),99))/100))+5.0)/(1-(((MIN(($P$13),99))/100))+5.0))))*100))/100))*0.96)),(((((MIN(($P12),99))/100))+5.0)/(1-(((MIN(($P12),99))/100))+5.0))))*100))/100))*0.96)),(((((MIN((P$11),99))/100))+5.0)/(1-(((MIN((P$11),99))/100))+5.0))))*100))/100))*0.96)),(((((MIN((P$10),99))/100))+5.0)/(1-(((MIN((P$10),99))/100))+5.0))))*100))/100))*0.96)),(((((MIN((P9),99))/100))+5.0)/(1-(((MIN((P9),99))/100))+5.0))))*100))/100))*0.96)),(((((MIN((P$8),99))/100))+5.0)/(1-(((MIN((P$8),99))/100))+5.0))))*100))/100))*0.96)),(((((MIN((P$7),99))/100))+5.0)/(1-(((MIN((P$7),99))/100))+5.0))))*100))/100))*0.96)),(((((MIN(($P$6),99))/100))+5.0)/(1-(((MIN(($P$6),99))/100))+5.0))))*100))/100))*0.96)),(((((MIN(($P5),99))/100))+5.0)/(1-(((MIN(($P5),99))/100))+5.0))))*100))/100))*0.96)),(((((MIN((P$4),99))/100))+5.0)/(1-(((MIN((P$4),99))/100))+5.0))))*100))/100))*0.96)),(((((MIN(($P3),99))/100))+5.0)/(1-(((MIN(($P3),99))/100))+5.0))))*100))/100))*0.96)),(((((MIN(($P$2),99))/100))+5.0)/(1-(((MIN(($P$2),99))/100))+5.0))))*100))/100))*0.96)),(((((MIN(($P1),99))/100))+5.0)/(1-(((MIN(($P1),99))/100))+5.0))))*100),0)</f>
        <v/>
      </c>
      <c r="Q1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(33)/100))*0.96)),(((((MIN((P$17),99))/100))+5.0)/(1-(((MIN((P$17),99))/100))+5.0))))*100))/100))*0.96)),(((((MIN(($O17),99))/100))+5.0)/(1-(((MIN(($O17),99))/100))+5.0))))*100))/100))*0.96)),(((((MIN(($N17),99))/100))+5.0)/(1-(((MIN(($N17),99))/100))+5.0))))*100))/100))*0.96)),(((((MIN((M$17),99))/100))+5.0)/(1-(((MIN((M$17),99))/100))+5.0))))*100))/100))*0.96)),(((((MIN(($L$17),99))/100))+5.0)/(1-(((MIN(($L$17),99))/100))+5.0))))*100))/100))*0.96)),(((((MIN((K17),99))/100))+5.0)/(1-(((MIN((K17),99))/100))+5.0))))*100))/100))*0.96)),(((((MIN((J$17),99))/100))+5.0)/(1-(((MIN((J$17),99))/100))+5.0))))*100))/100))*0.96)),(((((MIN(($I$17),99))/100))+5.0)/(1-(((MIN(($I$17),99))/100))+5.0))))*100))/100))*0.96)),(((((MIN((Q16),99))/100))+5.0)/(1-(((MIN((Q16),99))/100))+5.0))))*100))/100))*0.96)),(((((MIN(($Q15),99))/100))+5.0)/(1-(((MIN(($Q15),99))/100))+5.0))))*100))/100))*0.96)),(((((MIN(($Q$14),99))/100))+5.0)/(1-(((MIN(($Q$14),99))/100))+5.0))))*100))/100))*0.96)),(((((MIN((Q13),99))/100))+5.0)/(1-(((MIN((Q13),99))/100))+5.0))))*100))/100))*0.96)),(((((MIN(($Q$12),99))/100))+5.0)/(1-(((MIN(($Q$12),99))/100))+5.0))))*100))/100))*0.96)),(((((MIN(($Q$11),99))/100))+5.0)/(1-(((MIN(($Q$11),99))/100))+5.0))))*100))/100))*0.96)),(((((MIN(($Q10),99))/100))+5.0)/(1-(((MIN(($Q10),99))/100))+5.0))))*100))/100))*0.96)),(((((MIN((Q$9),99))/100))+5.0)/(1-(((MIN((Q$9),99))/100))+5.0))))*100))/100))*0.96)),(((((MIN((Q8),99))/100))+5.0)/(1-(((MIN((Q8),99))/100))+5.0))))*100))/100))*0.96)),(((((MIN(($Q$7),99))/100))+5.0)/(1-(((MIN(($Q$7),99))/100))+5.0))))*100))/100))*0.96)),(((((MIN(($Q6),99))/100))+5.0)/(1-(((MIN(($Q6),99))/100))+5.0))))*100))/100))*0.96)),(((((MIN(($Q5),99))/100))+5.0)/(1-(((MIN(($Q5),99))/100))+5.0))))*100))/100))*0.96)),(((((MIN((Q$4),99))/100))+5.0)/(1-(((MIN((Q$4),99))/100))+5.0))))*100))/100))*0.96)),(((((MIN((Q3),99))/100))+5.0)/(1-(((MIN((Q3),99))/100))+5.0))))*100))/100))*0.96)),(((((MIN((Q2),99))/100))+5.0)/(1-(((MIN((Q2),99))/100))+5.0))))*100))/100))*0.96)),(((((MIN(($Q1),99))/100))+5.0)/(1-(((MIN(($Q1),99))/100))+5.0))))*100),0)</f>
        <v/>
      </c>
      <c r="R1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(31)/100))*0.96)),(((((MIN((Q17),99))/100))+5.0)/(1-(((MIN((Q17),99))/100))+5.0))))*100))/100))*0.96)),(((((MIN(($P17),99))/100))+5.0)/(1-(((MIN(($P17),99))/100))+5.0))))*100))/100))*0.96)),(((((MIN(($O17),99))/100))+5.0)/(1-(((MIN(($O17),99))/100))+5.0))))*100))/100))*0.96)),(((((MIN((N17),99))/100))+5.0)/(1-(((MIN((N17),99))/100))+5.0))))*100))/100))*0.96)),(((((MIN(($M17),99))/100))+5.0)/(1-(((MIN(($M17),99))/100))+5.0))))*100))/100))*0.96)),(((((MIN(($L$17),99))/100))+5.0)/(1-(((MIN(($L$17),99))/100))+5.0))))*100))/100))*0.96)),(((((MIN((K$17),99))/100))+5.0)/(1-(((MIN((K$17),99))/100))+5.0))))*100))/100))*0.96)),(((((MIN((J$17),99))/100))+5.0)/(1-(((MIN((J$17),99))/100))+5.0))))*100))/100))*0.96)),(((((MIN(($R16),99))/100))+5.0)/(1-(((MIN(($R16),99))/100))+5.0))))*100))/100))*0.96)),(((((MIN((R15),99))/100))+5.0)/(1-(((MIN((R15),99))/100))+5.0))))*100))/100))*0.96)),(((((MIN(($R14),99))/100))+5.0)/(1-(((MIN(($R14),99))/100))+5.0))))*100))/100))*0.96)),(((((MIN(($R$13),99))/100))+5.0)/(1-(((MIN(($R$13),99))/100))+5.0))))*100))/100))*0.96)),(((((MIN(($R12),99))/100))+5.0)/(1-(((MIN(($R12),99))/100))+5.0))))*100))/100))*0.96)),(((((MIN((R$11),99))/100))+5.0)/(1-(((MIN((R$11),99))/100))+5.0))))*100))/100))*0.96)),(((((MIN(($R$10),99))/100))+5.0)/(1-(((MIN(($R$10),99))/100))+5.0))))*100))/100))*0.96)),(((((MIN(($R9),99))/100))+5.0)/(1-(((MIN(($R9),99))/100))+5.0))))*100))/100))*0.96)),(((((MIN((R8),99))/100))+5.0)/(1-(((MIN((R8),99))/100))+5.0))))*100))/100))*0.96)),(((((MIN((R$7),99))/100))+5.0)/(1-(((MIN((R$7),99))/100))+5.0))))*100))/100))*0.96)),(((((MIN((R6),99))/100))+5.0)/(1-(((MIN((R6),99))/100))+5.0))))*100))/100))*0.96)),(((((MIN((R$5),99))/100))+5.0)/(1-(((MIN((R$5),99))/100))+5.0))))*100))/100))*0.96)),(((((MIN((R4),99))/100))+5.0)/(1-(((MIN((R4),99))/100))+5.0))))*100))/100))*0.96)),(((((MIN((R3),99))/100))+5.0)/(1-(((MIN((R3),99))/100))+5.0))))*100))/100))*0.96)),(((((MIN(($R$2),99))/100))+5.0)/(1-(((MIN(($R$2),99))/100))+5.0))))*100))/100))*0.96)),(((((MIN(($R$1),99))/100))+5.0)/(1-(((MIN(($R$1),99))/100))+5.0))))*100),0)</f>
        <v/>
      </c>
      <c r="S1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(87)/100))*0.96)),(((((MIN((R$17),99))/100))+5.0)/(1-(((MIN((R$17),99))/100))+5.0))))*100))/100))*0.96)),(((((MIN((Q17),99))/100))+5.0)/(1-(((MIN((Q17),99))/100))+5.0))))*100))/100))*0.96)),(((((MIN(($P$17),99))/100))+5.0)/(1-(((MIN(($P$17),99))/100))+5.0))))*100))/100))*0.96)),(((((MIN(($O$17),99))/100))+5.0)/(1-(((MIN(($O$17),99))/100))+5.0))))*100))/100))*0.96)),(((((MIN((N$17),99))/100))+5.0)/(1-(((MIN((N$17),99))/100))+5.0))))*100))/100))*0.96)),(((((MIN((M17),99))/100))+5.0)/(1-(((MIN((M17),99))/100))+5.0))))*100))/100))*0.96)),(((((MIN((L$17),99))/100))+5.0)/(1-(((MIN((L$17),99))/100))+5.0))))*100))/100))*0.96)),(((((MIN((K17),99))/100))+5.0)/(1-(((MIN((K17),99))/100))+5.0))))*100))/100))*0.96)),(((((MIN(($S16),99))/100))+5.0)/(1-(((MIN(($S16),99))/100))+5.0))))*100))/100))*0.96)),(((((MIN(($S15),99))/100))+5.0)/(1-(((MIN(($S15),99))/100))+5.0))))*100))/100))*0.96)),(((((MIN((S$14),99))/100))+5.0)/(1-(((MIN((S$14),99))/100))+5.0))))*100))/100))*0.96)),(((((MIN((S13),99))/100))+5.0)/(1-(((MIN((S13),99))/100))+5.0))))*100))/100))*0.96)),(((((MIN((S$12),99))/100))+5.0)/(1-(((MIN((S$12),99))/100))+5.0))))*100))/100))*0.96)),(((((MIN(($S11),99))/100))+5.0)/(1-(((MIN(($S11),99))/100))+5.0))))*100))/100))*0.96)),(((((MIN((S10),99))/100))+5.0)/(1-(((MIN((S10),99))/100))+5.0))))*100))/100))*0.96)),(((((MIN((S9),99))/100))+5.0)/(1-(((MIN((S9),99))/100))+5.0))))*100))/100))*0.96)),(((((MIN((S$8),99))/100))+5.0)/(1-(((MIN((S$8),99))/100))+5.0))))*100))/100))*0.96)),(((((MIN(($S$7),99))/100))+5.0)/(1-(((MIN(($S$7),99))/100))+5.0))))*100))/100))*0.96)),(((((MIN((S6),99))/100))+5.0)/(1-(((MIN((S6),99))/100))+5.0))))*100))/100))*0.96)),(((((MIN((S5),99))/100))+5.0)/(1-(((MIN((S5),99))/100))+5.0))))*100))/100))*0.96)),(((((MIN(($S4),99))/100))+5.0)/(1-(((MIN(($S4),99))/100))+5.0))))*100))/100))*0.96)),(((((MIN((S3),99))/100))+5.0)/(1-(((MIN((S3),99))/100))+5.0))))*100))/100))*0.96)),(((((MIN(($S$2),99))/100))+5.0)/(1-(((MIN(($S$2),99))/100))+5.0))))*100))/100))*0.96)),(((((MIN(($S$1),99))/100))+5.0)/(1-(((MIN(($S$1),99))/100))+5.0))))*100),0)</f>
        <v/>
      </c>
      <c r="T1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(93)/100))*0.96)),(((((MIN((S$17),99))/100))+5.0)/(1-(((MIN((S$17),99))/100))+5.0))))*100))/100))*0.96)),(((((MIN(($R$17),99))/100))+5.0)/(1-(((MIN(($R$17),99))/100))+5.0))))*100))/100))*0.96)),(((((MIN(($Q17),99))/100))+5.0)/(1-(((MIN(($Q17),99))/100))+5.0))))*100))/100))*0.96)),(((((MIN((P$17),99))/100))+5.0)/(1-(((MIN((P$17),99))/100))+5.0))))*100))/100))*0.96)),(((((MIN((O$17),99))/100))+5.0)/(1-(((MIN((O$17),99))/100))+5.0))))*100))/100))*0.96)),(((((MIN((N17),99))/100))+5.0)/(1-(((MIN((N17),99))/100))+5.0))))*100))/100))*0.96)),(((((MIN(($M$17),99))/100))+5.0)/(1-(((MIN(($M$17),99))/100))+5.0))))*100))/100))*0.96)),(((((MIN(($L17),99))/100))+5.0)/(1-(((MIN(($L17),99))/100))+5.0))))*100))/100))*0.96)),(((((MIN(($T16),99))/100))+5.0)/(1-(((MIN(($T16),99))/100))+5.0))))*100))/100))*0.96)),(((((MIN((T15),99))/100))+5.0)/(1-(((MIN((T15),99))/100))+5.0))))*100))/100))*0.96)),(((((MIN((T$14),99))/100))+5.0)/(1-(((MIN((T$14),99))/100))+5.0))))*100))/100))*0.96)),(((((MIN((T$13),99))/100))+5.0)/(1-(((MIN((T$13),99))/100))+5.0))))*100))/100))*0.96)),(((((MIN(($T$12),99))/100))+5.0)/(1-(((MIN(($T$12),99))/100))+5.0))))*100))/100))*0.96)),(((((MIN((T11),99))/100))+5.0)/(1-(((MIN((T11),99))/100))+5.0))))*100))/100))*0.96)),(((((MIN(($T10),99))/100))+5.0)/(1-(((MIN(($T10),99))/100))+5.0))))*100))/100))*0.96)),(((((MIN((T9),99))/100))+5.0)/(1-(((MIN((T9),99))/100))+5.0))))*100))/100))*0.96)),(((((MIN((T8),99))/100))+5.0)/(1-(((MIN((T8),99))/100))+5.0))))*100))/100))*0.96)),(((((MIN(($T$7),99))/100))+5.0)/(1-(((MIN(($T$7),99))/100))+5.0))))*100))/100))*0.96)),(((((MIN(($T$6),99))/100))+5.0)/(1-(((MIN(($T$6),99))/100))+5.0))))*100))/100))*0.96)),(((((MIN(($T5),99))/100))+5.0)/(1-(((MIN(($T5),99))/100))+5.0))))*100))/100))*0.96)),(((((MIN((T4),99))/100))+5.0)/(1-(((MIN((T4),99))/100))+5.0))))*100))/100))*0.96)),(((((MIN(($T3),99))/100))+5.0)/(1-(((MIN(($T3),99))/100))+5.0))))*100))/100))*0.96)),(((((MIN((T$2),99))/100))+5.0)/(1-(((MIN((T$2),99))/100))+5.0))))*100))/100))*0.96)),(((((MIN((T$1),99))/100))+5.0)/(1-(((MIN((T$1),99))/100))+5.0))))*100),0)</f>
        <v/>
      </c>
    </row>
    <row r="18">
      <c r="A1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(59)/100))*0.96)),(((((MIN(($A$17),99))/100))+5.0)/(1-(((MIN(($A$17),99))/100))+5.0))))*100))/100))*0.96)),(((((MIN(($A$16),99))/100))+5.0)/(1-(((MIN(($A$16),99))/100))+5.0))))*100))/100))*0.96)),(((((MIN(($A$15),99))/100))+5.0)/(1-(((MIN(($A$15),99))/100))+5.0))))*100))/100))*0.96)),(((((MIN((A14),99))/100))+5.0)/(1-(((MIN((A14),99))/100))+5.0))))*100))/100))*0.96)),(((((MIN(($A$13),99))/100))+5.0)/(1-(((MIN(($A$13),99))/100))+5.0))))*100))/100))*0.96)),(((((MIN((A12),99))/100))+5.0)/(1-(((MIN((A12),99))/100))+5.0))))*100))/100))*0.96)),(((((MIN((A11),99))/100))+5.0)/(1-(((MIN((A11),99))/100))+5.0))))*100))/100))*0.96)),(((((MIN(($A$10),99))/100))+5.0)/(1-(((MIN(($A$10),99))/100))+5.0))))*100))/100))*0.96)),(((((MIN(($A$9),99))/100))+5.0)/(1-(((MIN(($A$9),99))/100))+5.0))))*100))/100))*0.96)),(((((MIN((A8),99))/100))+5.0)/(1-(((MIN((A8),99))/100))+5.0))))*100))/100))*0.96)),(((((MIN(($A$7),99))/100))+5.0)/(1-(((MIN(($A$7),99))/100))+5.0))))*100))/100))*0.96)),(((((MIN(($A$6),99))/100))+5.0)/(1-(((MIN(($A$6),99))/100))+5.0))))*100))/100))*0.96)),(((((MIN((A$5),99))/100))+5.0)/(1-(((MIN((A$5),99))/100))+5.0))))*100))/100))*0.96)),(((((MIN((A$4),99))/100))+5.0)/(1-(((MIN((A$4),99))/100))+5.0))))*100))/100))*0.96)),(((((MIN(($A$3),99))/100))+5.0)/(1-(((MIN(($A$3),99))/100))+5.0))))*100))/100))*0.96)),(((((MIN(($A2),99))/100))+5.0)/(1-(((MIN(($A2),99))/100))+5.0))))*100),0)</f>
        <v/>
      </c>
      <c r="B1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(28)/100))*0.96)),(((((MIN((A$18),99))/100))+5.0)/(1-(((MIN((A$18),99))/100))+5.0))))*100))/100))*0.96)),(((((MIN(($B17),99))/100))+5.0)/(1-(((MIN(($B17),99))/100))+5.0))))*100))/100))*0.96)),(((((MIN(($B16),99))/100))+5.0)/(1-(((MIN(($B16),99))/100))+5.0))))*100))/100))*0.96)),(((((MIN((B$15),99))/100))+5.0)/(1-(((MIN((B$15),99))/100))+5.0))))*100))/100))*0.96)),(((((MIN((B14),99))/100))+5.0)/(1-(((MIN((B14),99))/100))+5.0))))*100))/100))*0.96)),(((((MIN(($B13),99))/100))+5.0)/(1-(((MIN(($B13),99))/100))+5.0))))*100))/100))*0.96)),(((((MIN(($B12),99))/100))+5.0)/(1-(((MIN(($B12),99))/100))+5.0))))*100))/100))*0.96)),(((((MIN((B$11),99))/100))+5.0)/(1-(((MIN((B$11),99))/100))+5.0))))*100))/100))*0.96)),(((((MIN((B$10),99))/100))+5.0)/(1-(((MIN((B$10),99))/100))+5.0))))*100))/100))*0.96)),(((((MIN((B9),99))/100))+5.0)/(1-(((MIN((B9),99))/100))+5.0))))*100))/100))*0.96)),(((((MIN(($B$8),99))/100))+5.0)/(1-(((MIN(($B$8),99))/100))+5.0))))*100))/100))*0.96)),(((((MIN(($B7),99))/100))+5.0)/(1-(((MIN(($B7),99))/100))+5.0))))*100))/100))*0.96)),(((((MIN((B$6),99))/100))+5.0)/(1-(((MIN((B$6),99))/100))+5.0))))*100))/100))*0.96)),(((((MIN((B$5),99))/100))+5.0)/(1-(((MIN((B$5),99))/100))+5.0))))*100))/100))*0.96)),(((((MIN(($B$4),99))/100))+5.0)/(1-(((MIN(($B$4),99))/100))+5.0))))*100))/100))*0.96)),(((((MIN(($B$3),99))/100))+5.0)/(1-(((MIN(($B$3),99))/100))+5.0))))*100))/100))*0.96)),(((((MIN((B2),99))/100))+5.0)/(1-(((MIN((B2),99))/100))+5.0))))*100),0)</f>
        <v/>
      </c>
      <c r="C1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(17)/100))*0.96)),(((((MIN((B18),99))/100))+5.0)/(1-(((MIN((B18),99))/100))+5.0))))*100))/100))*0.96)),(((((MIN((A18),99))/100))+5.0)/(1-(((MIN((A18),99))/100))+5.0))))*100))/100))*0.96)),(((((MIN((C17),99))/100))+5.0)/(1-(((MIN((C17),99))/100))+5.0))))*100))/100))*0.96)),(((((MIN(($C16),99))/100))+5.0)/(1-(((MIN(($C16),99))/100))+5.0))))*100))/100))*0.96)),(((((MIN(($C$15),99))/100))+5.0)/(1-(((MIN(($C$15),99))/100))+5.0))))*100))/100))*0.96)),(((((MIN((C14),99))/100))+5.0)/(1-(((MIN((C14),99))/100))+5.0))))*100))/100))*0.96)),(((((MIN((C13),99))/100))+5.0)/(1-(((MIN((C13),99))/100))+5.0))))*100))/100))*0.96)),(((((MIN(($C12),99))/100))+5.0)/(1-(((MIN(($C12),99))/100))+5.0))))*100))/100))*0.96)),(((((MIN((C11),99))/100))+5.0)/(1-(((MIN((C11),99))/100))+5.0))))*100))/100))*0.96)),(((((MIN(($C$10),99))/100))+5.0)/(1-(((MIN(($C$10),99))/100))+5.0))))*100))/100))*0.96)),(((((MIN(($C9),99))/100))+5.0)/(1-(((MIN(($C9),99))/100))+5.0))))*100))/100))*0.96)),(((((MIN(($C$8),99))/100))+5.0)/(1-(((MIN(($C$8),99))/100))+5.0))))*100))/100))*0.96)),(((((MIN((C$7),99))/100))+5.0)/(1-(((MIN((C$7),99))/100))+5.0))))*100))/100))*0.96)),(((((MIN(($C6),99))/100))+5.0)/(1-(((MIN(($C6),99))/100))+5.0))))*100))/100))*0.96)),(((((MIN(($C$5),99))/100))+5.0)/(1-(((MIN(($C$5),99))/100))+5.0))))*100))/100))*0.96)),(((((MIN(($C4),99))/100))+5.0)/(1-(((MIN(($C4),99))/100))+5.0))))*100))/100))*0.96)),(((((MIN(($C$3),99))/100))+5.0)/(1-(((MIN(($C$3),99))/100))+5.0))))*100))/100))*0.96)),(((((MIN((C2),99))/100))+5.0)/(1-(((MIN((C2),99))/100))+5.0))))*100),0)</f>
        <v/>
      </c>
      <c r="D1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(55)/100))*0.96)),(((((MIN((C18),99))/100))+5.0)/(1-(((MIN((C18),99))/100))+5.0))))*100))/100))*0.96)),(((((MIN(($B$18),99))/100))+5.0)/(1-(((MIN(($B$18),99))/100))+5.0))))*100))/100))*0.96)),(((((MIN((A$18),99))/100))+5.0)/(1-(((MIN((A$18),99))/100))+5.0))))*100))/100))*0.96)),(((((MIN(($D17),99))/100))+5.0)/(1-(((MIN(($D17),99))/100))+5.0))))*100))/100))*0.96)),(((((MIN(($D$16),99))/100))+5.0)/(1-(((MIN(($D$16),99))/100))+5.0))))*100))/100))*0.96)),(((((MIN(($D$15),99))/100))+5.0)/(1-(((MIN(($D$15),99))/100))+5.0))))*100))/100))*0.96)),(((((MIN(($D$14),99))/100))+5.0)/(1-(((MIN(($D$14),99))/100))+5.0))))*100))/100))*0.96)),(((((MIN((D13),99))/100))+5.0)/(1-(((MIN((D13),99))/100))+5.0))))*100))/100))*0.96)),(((((MIN((D$12),99))/100))+5.0)/(1-(((MIN((D$12),99))/100))+5.0))))*100))/100))*0.96)),(((((MIN(($D$11),99))/100))+5.0)/(1-(((MIN(($D$11),99))/100))+5.0))))*100))/100))*0.96)),(((((MIN(($D$10),99))/100))+5.0)/(1-(((MIN(($D$10),99))/100))+5.0))))*100))/100))*0.96)),(((((MIN((D9),99))/100))+5.0)/(1-(((MIN((D9),99))/100))+5.0))))*100))/100))*0.96)),(((((MIN((D$8),99))/100))+5.0)/(1-(((MIN((D$8),99))/100))+5.0))))*100))/100))*0.96)),(((((MIN((D$7),99))/100))+5.0)/(1-(((MIN((D$7),99))/100))+5.0))))*100))/100))*0.96)),(((((MIN(($D6),99))/100))+5.0)/(1-(((MIN(($D6),99))/100))+5.0))))*100))/100))*0.96)),(((((MIN((D$5),99))/100))+5.0)/(1-(((MIN((D$5),99))/100))+5.0))))*100))/100))*0.96)),(((((MIN(($D4),99))/100))+5.0)/(1-(((MIN(($D4),99))/100))+5.0))))*100))/100))*0.96)),(((((MIN((D3),99))/100))+5.0)/(1-(((MIN((D3),99))/100))+5.0))))*100))/100))*0.96)),(((((MIN(($D$2),99))/100))+5.0)/(1-(((MIN(($D$2),99))/100))+5.0))))*100),0)</f>
        <v/>
      </c>
      <c r="E1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(81)/100))*0.96)),(((((MIN(($D$18),99))/100))+5.0)/(1-(((MIN(($D$18),99))/100))+5.0))))*100))/100))*0.96)),(((((MIN(($C$18),99))/100))+5.0)/(1-(((MIN(($C$18),99))/100))+5.0))))*100))/100))*0.96)),(((((MIN(($B18),99))/100))+5.0)/(1-(((MIN(($B18),99))/100))+5.0))))*100))/100))*0.96)),(((((MIN(($A$18),99))/100))+5.0)/(1-(((MIN(($A$18),99))/100))+5.0))))*100))/100))*0.96)),(((((MIN(($E$17),99))/100))+5.0)/(1-(((MIN(($E$17),99))/100))+5.0))))*100))/100))*0.96)),(((((MIN(($E$16),99))/100))+5.0)/(1-(((MIN(($E$16),99))/100))+5.0))))*100))/100))*0.96)),(((((MIN((E$15),99))/100))+5.0)/(1-(((MIN((E$15),99))/100))+5.0))))*100))/100))*0.96)),(((((MIN(($E14),99))/100))+5.0)/(1-(((MIN(($E14),99))/100))+5.0))))*100))/100))*0.96)),(((((MIN(($E$13),99))/100))+5.0)/(1-(((MIN(($E$13),99))/100))+5.0))))*100))/100))*0.96)),(((((MIN((E12),99))/100))+5.0)/(1-(((MIN((E12),99))/100))+5.0))))*100))/100))*0.96)),(((((MIN((E11),99))/100))+5.0)/(1-(((MIN((E11),99))/100))+5.0))))*100))/100))*0.96)),(((((MIN(($E10),99))/100))+5.0)/(1-(((MIN(($E10),99))/100))+5.0))))*100))/100))*0.96)),(((((MIN(($E$9),99))/100))+5.0)/(1-(((MIN(($E$9),99))/100))+5.0))))*100))/100))*0.96)),(((((MIN((E$8),99))/100))+5.0)/(1-(((MIN((E$8),99))/100))+5.0))))*100))/100))*0.96)),(((((MIN(($E$7),99))/100))+5.0)/(1-(((MIN(($E$7),99))/100))+5.0))))*100))/100))*0.96)),(((((MIN((E6),99))/100))+5.0)/(1-(((MIN((E6),99))/100))+5.0))))*100))/100))*0.96)),(((((MIN(($E$5),99))/100))+5.0)/(1-(((MIN(($E$5),99))/100))+5.0))))*100))/100))*0.96)),(((((MIN((E$4),99))/100))+5.0)/(1-(((MIN((E$4),99))/100))+5.0))))*100))/100))*0.96)),(((((MIN((E$3),99))/100))+5.0)/(1-(((MIN((E$3),99))/100))+5.0))))*100))/100))*0.96)),(((((MIN((E2),99))/100))+5.0)/(1-(((MIN((E2),99))/100))+5.0))))*100),0)</f>
        <v/>
      </c>
      <c r="F1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(52)/100))*0.96)),(((((MIN((E$18),99))/100))+5.0)/(1-(((MIN((E$18),99))/100))+5.0))))*100))/100))*0.96)),(((((MIN((D$18),99))/100))+5.0)/(1-(((MIN((D$18),99))/100))+5.0))))*100))/100))*0.96)),(((((MIN(($C18),99))/100))+5.0)/(1-(((MIN(($C18),99))/100))+5.0))))*100))/100))*0.96)),(((((MIN((B$18),99))/100))+5.0)/(1-(((MIN((B$18),99))/100))+5.0))))*100))/100))*0.96)),(((((MIN((A18),99))/100))+5.0)/(1-(((MIN((A18),99))/100))+5.0))))*100))/100))*0.96)),(((((MIN(($F17),99))/100))+5.0)/(1-(((MIN(($F17),99))/100))+5.0))))*100))/100))*0.96)),(((((MIN(($F16),99))/100))+5.0)/(1-(((MIN(($F16),99))/100))+5.0))))*100))/100))*0.96)),(((((MIN(($F15),99))/100))+5.0)/(1-(((MIN(($F15),99))/100))+5.0))))*100))/100))*0.96)),(((((MIN(($F$14),99))/100))+5.0)/(1-(((MIN(($F$14),99))/100))+5.0))))*100))/100))*0.96)),(((((MIN(($F13),99))/100))+5.0)/(1-(((MIN(($F13),99))/100))+5.0))))*100))/100))*0.96)),(((((MIN((F12),99))/100))+5.0)/(1-(((MIN((F12),99))/100))+5.0))))*100))/100))*0.96)),(((((MIN(($F11),99))/100))+5.0)/(1-(((MIN(($F11),99))/100))+5.0))))*100))/100))*0.96)),(((((MIN((F$10),99))/100))+5.0)/(1-(((MIN((F$10),99))/100))+5.0))))*100))/100))*0.96)),(((((MIN((F9),99))/100))+5.0)/(1-(((MIN((F9),99))/100))+5.0))))*100))/100))*0.96)),(((((MIN((F8),99))/100))+5.0)/(1-(((MIN((F8),99))/100))+5.0))))*100))/100))*0.96)),(((((MIN((F$7),99))/100))+5.0)/(1-(((MIN((F$7),99))/100))+5.0))))*100))/100))*0.96)),(((((MIN((F6),99))/100))+5.0)/(1-(((MIN((F6),99))/100))+5.0))))*100))/100))*0.96)),(((((MIN(($F$5),99))/100))+5.0)/(1-(((MIN(($F$5),99))/100))+5.0))))*100))/100))*0.96)),(((((MIN(($F4),99))/100))+5.0)/(1-(((MIN(($F4),99))/100))+5.0))))*100))/100))*0.96)),(((((MIN(($F3),99))/100))+5.0)/(1-(((MIN(($F3),99))/100))+5.0))))*100))/100))*0.96)),(((((MIN(($F2),99))/100))+5.0)/(1-(((MIN(($F2),99))/100))+5.0))))*100),0)</f>
        <v/>
      </c>
      <c r="G1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(29)/100))*0.96)),(((((MIN(($F$18),99))/100))+5.0)/(1-(((MIN(($F$18),99))/100))+5.0))))*100))/100))*0.96)),(((((MIN((E18),99))/100))+5.0)/(1-(((MIN((E18),99))/100))+5.0))))*100))/100))*0.96)),(((((MIN((D18),99))/100))+5.0)/(1-(((MIN((D18),99))/100))+5.0))))*100))/100))*0.96)),(((((MIN(($C18),99))/100))+5.0)/(1-(((MIN(($C18),99))/100))+5.0))))*100))/100))*0.96)),(((((MIN((B18),99))/100))+5.0)/(1-(((MIN((B18),99))/100))+5.0))))*100))/100))*0.96)),(((((MIN(($A$18),99))/100))+5.0)/(1-(((MIN(($A$18),99))/100))+5.0))))*100))/100))*0.96)),(((((MIN((G17),99))/100))+5.0)/(1-(((MIN((G17),99))/100))+5.0))))*100))/100))*0.96)),(((((MIN((G$16),99))/100))+5.0)/(1-(((MIN((G$16),99))/100))+5.0))))*100))/100))*0.96)),(((((MIN((G15),99))/100))+5.0)/(1-(((MIN((G15),99))/100))+5.0))))*100))/100))*0.96)),(((((MIN((G$14),99))/100))+5.0)/(1-(((MIN((G$14),99))/100))+5.0))))*100))/100))*0.96)),(((((MIN(($G$13),99))/100))+5.0)/(1-(((MIN(($G$13),99))/100))+5.0))))*100))/100))*0.96)),(((((MIN(($G12),99))/100))+5.0)/(1-(((MIN(($G12),99))/100))+5.0))))*100))/100))*0.96)),(((((MIN(($G$11),99))/100))+5.0)/(1-(((MIN(($G$11),99))/100))+5.0))))*100))/100))*0.96)),(((((MIN(($G$10),99))/100))+5.0)/(1-(((MIN(($G$10),99))/100))+5.0))))*100))/100))*0.96)),(((((MIN((G$9),99))/100))+5.0)/(1-(((MIN((G$9),99))/100))+5.0))))*100))/100))*0.96)),(((((MIN((G$8),99))/100))+5.0)/(1-(((MIN((G$8),99))/100))+5.0))))*100))/100))*0.96)),(((((MIN((G$7),99))/100))+5.0)/(1-(((MIN((G$7),99))/100))+5.0))))*100))/100))*0.96)),(((((MIN(($G$6),99))/100))+5.0)/(1-(((MIN(($G$6),99))/100))+5.0))))*100))/100))*0.96)),(((((MIN(($G5),99))/100))+5.0)/(1-(((MIN(($G5),99))/100))+5.0))))*100))/100))*0.96)),(((((MIN((G4),99))/100))+5.0)/(1-(((MIN((G4),99))/100))+5.0))))*100))/100))*0.96)),(((((MIN((G3),99))/100))+5.0)/(1-(((MIN((G3),99))/100))+5.0))))*100))/100))*0.96)),(((((MIN((G$2),99))/100))+5.0)/(1-(((MIN((G$2),99))/100))+5.0))))*100),0)</f>
        <v/>
      </c>
      <c r="H1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(9)/100))*0.96)),(((((MIN((G$18),99))/100))+5.0)/(1-(((MIN((G$18),99))/100))+5.0))))*100))/100))*0.96)),(((((MIN(($F$18),99))/100))+5.0)/(1-(((MIN(($F$18),99))/100))+5.0))))*100))/100))*0.96)),(((((MIN(($E18),99))/100))+5.0)/(1-(((MIN(($E18),99))/100))+5.0))))*100))/100))*0.96)),(((((MIN((D$18),99))/100))+5.0)/(1-(((MIN((D$18),99))/100))+5.0))))*100))/100))*0.96)),(((((MIN((C18),99))/100))+5.0)/(1-(((MIN((C18),99))/100))+5.0))))*100))/100))*0.96)),(((((MIN((B$18),99))/100))+5.0)/(1-(((MIN((B$18),99))/100))+5.0))))*100))/100))*0.96)),(((((MIN((A18),99))/100))+5.0)/(1-(((MIN((A18),99))/100))+5.0))))*100))/100))*0.96)),(((((MIN(($H$17),99))/100))+5.0)/(1-(((MIN(($H$17),99))/100))+5.0))))*100))/100))*0.96)),(((((MIN((H$16),99))/100))+5.0)/(1-(((MIN((H$16),99))/100))+5.0))))*100))/100))*0.96)),(((((MIN(($H15),99))/100))+5.0)/(1-(((MIN(($H15),99))/100))+5.0))))*100))/100))*0.96)),(((((MIN((H14),99))/100))+5.0)/(1-(((MIN((H14),99))/100))+5.0))))*100))/100))*0.96)),(((((MIN(($H13),99))/100))+5.0)/(1-(((MIN(($H13),99))/100))+5.0))))*100))/100))*0.96)),(((((MIN(($H12),99))/100))+5.0)/(1-(((MIN(($H12),99))/100))+5.0))))*100))/100))*0.96)),(((((MIN(($H$11),99))/100))+5.0)/(1-(((MIN(($H$11),99))/100))+5.0))))*100))/100))*0.96)),(((((MIN((H$10),99))/100))+5.0)/(1-(((MIN((H$10),99))/100))+5.0))))*100))/100))*0.96)),(((((MIN(($H$9),99))/100))+5.0)/(1-(((MIN(($H$9),99))/100))+5.0))))*100))/100))*0.96)),(((((MIN(($H8),99))/100))+5.0)/(1-(((MIN(($H8),99))/100))+5.0))))*100))/100))*0.96)),(((((MIN(($H$7),99))/100))+5.0)/(1-(((MIN(($H$7),99))/100))+5.0))))*100))/100))*0.96)),(((((MIN(($H6),99))/100))+5.0)/(1-(((MIN(($H6),99))/100))+5.0))))*100))/100))*0.96)),(((((MIN((H$5),99))/100))+5.0)/(1-(((MIN((H$5),99))/100))+5.0))))*100))/100))*0.96)),(((((MIN(($H$4),99))/100))+5.0)/(1-(((MIN(($H$4),99))/100))+5.0))))*100))/100))*0.96)),(((((MIN((H$3),99))/100))+5.0)/(1-(((MIN((H$3),99))/100))+5.0))))*100))/100))*0.96)),(((((MIN((H2),99))/100))+5.0)/(1-(((MIN((H2),99))/100))+5.0))))*100),0)</f>
        <v/>
      </c>
      <c r="I1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(81)/100))*0.96)),(((((MIN((H18),99))/100))+5.0)/(1-(((MIN((H18),99))/100))+5.0))))*100))/100))*0.96)),(((((MIN(($G18),99))/100))+5.0)/(1-(((MIN(($G18),99))/100))+5.0))))*100))/100))*0.96)),(((((MIN(($F$18),99))/100))+5.0)/(1-(((MIN(($F$18),99))/100))+5.0))))*100))/100))*0.96)),(((((MIN((E18),99))/100))+5.0)/(1-(((MIN((E18),99))/100))+5.0))))*100))/100))*0.96)),(((((MIN(($D18),99))/100))+5.0)/(1-(((MIN(($D18),99))/100))+5.0))))*100))/100))*0.96)),(((((MIN((C18),99))/100))+5.0)/(1-(((MIN((C18),99))/100))+5.0))))*100))/100))*0.96)),(((((MIN((B$18),99))/100))+5.0)/(1-(((MIN((B$18),99))/100))+5.0))))*100))/100))*0.96)),(((((MIN((A18),99))/100))+5.0)/(1-(((MIN((A18),99))/100))+5.0))))*100))/100))*0.96)),(((((MIN(($I17),99))/100))+5.0)/(1-(((MIN(($I17),99))/100))+5.0))))*100))/100))*0.96)),(((((MIN((I$16),99))/100))+5.0)/(1-(((MIN((I$16),99))/100))+5.0))))*100))/100))*0.96)),(((((MIN(($I15),99))/100))+5.0)/(1-(((MIN(($I15),99))/100))+5.0))))*100))/100))*0.96)),(((((MIN((I14),99))/100))+5.0)/(1-(((MIN((I14),99))/100))+5.0))))*100))/100))*0.96)),(((((MIN(($I$13),99))/100))+5.0)/(1-(((MIN(($I$13),99))/100))+5.0))))*100))/100))*0.96)),(((((MIN((I12),99))/100))+5.0)/(1-(((MIN((I12),99))/100))+5.0))))*100))/100))*0.96)),(((((MIN((I11),99))/100))+5.0)/(1-(((MIN((I11),99))/100))+5.0))))*100))/100))*0.96)),(((((MIN((I$10),99))/100))+5.0)/(1-(((MIN((I$10),99))/100))+5.0))))*100))/100))*0.96)),(((((MIN(($I9),99))/100))+5.0)/(1-(((MIN(($I9),99))/100))+5.0))))*100))/100))*0.96)),(((((MIN(($I$8),99))/100))+5.0)/(1-(((MIN(($I$8),99))/100))+5.0))))*100))/100))*0.96)),(((((MIN(($I$7),99))/100))+5.0)/(1-(((MIN(($I$7),99))/100))+5.0))))*100))/100))*0.96)),(((((MIN((I6),99))/100))+5.0)/(1-(((MIN((I6),99))/100))+5.0))))*100))/100))*0.96)),(((((MIN((I$5),99))/100))+5.0)/(1-(((MIN((I$5),99))/100))+5.0))))*100))/100))*0.96)),(((((MIN((I$4),99))/100))+5.0)/(1-(((MIN((I$4),99))/100))+5.0))))*100))/100))*0.96)),(((((MIN(($I3),99))/100))+5.0)/(1-(((MIN(($I3),99))/100))+5.0))))*100))/100))*0.96)),(((((MIN((I$2),99))/100))+5.0)/(1-(((MIN((I$2),99))/100))+5.0))))*100),0)</f>
        <v/>
      </c>
      <c r="J1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(69)/100))*0.96)),(((((MIN(($I$18),99))/100))+5.0)/(1-(((MIN(($I$18),99))/100))+5.0))))*100))/100))*0.96)),(((((MIN(($H$18),99))/100))+5.0)/(1-(((MIN(($H$18),99))/100))+5.0))))*100))/100))*0.96)),(((((MIN(($G18),99))/100))+5.0)/(1-(((MIN(($G18),99))/100))+5.0))))*100))/100))*0.96)),(((((MIN(($F18),99))/100))+5.0)/(1-(((MIN(($F18),99))/100))+5.0))))*100))/100))*0.96)),(((((MIN((E18),99))/100))+5.0)/(1-(((MIN((E18),99))/100))+5.0))))*100))/100))*0.96)),(((((MIN((D$18),99))/100))+5.0)/(1-(((MIN((D$18),99))/100))+5.0))))*100))/100))*0.96)),(((((MIN((C$18),99))/100))+5.0)/(1-(((MIN((C$18),99))/100))+5.0))))*100))/100))*0.96)),(((((MIN((B$18),99))/100))+5.0)/(1-(((MIN((B$18),99))/100))+5.0))))*100))/100))*0.96)),(((((MIN((J$17),99))/100))+5.0)/(1-(((MIN((J$17),99))/100))+5.0))))*100))/100))*0.96)),(((((MIN(($J$16),99))/100))+5.0)/(1-(((MIN(($J$16),99))/100))+5.0))))*100))/100))*0.96)),(((((MIN(($J$15),99))/100))+5.0)/(1-(((MIN(($J$15),99))/100))+5.0))))*100))/100))*0.96)),(((((MIN(($J$14),99))/100))+5.0)/(1-(((MIN(($J$14),99))/100))+5.0))))*100))/100))*0.96)),(((((MIN(($J13),99))/100))+5.0)/(1-(((MIN(($J13),99))/100))+5.0))))*100))/100))*0.96)),(((((MIN(($J12),99))/100))+5.0)/(1-(((MIN(($J12),99))/100))+5.0))))*100))/100))*0.96)),(((((MIN((J11),99))/100))+5.0)/(1-(((MIN((J11),99))/100))+5.0))))*100))/100))*0.96)),(((((MIN((J$10),99))/100))+5.0)/(1-(((MIN((J$10),99))/100))+5.0))))*100))/100))*0.96)),(((((MIN(($J9),99))/100))+5.0)/(1-(((MIN(($J9),99))/100))+5.0))))*100))/100))*0.96)),(((((MIN(($J$8),99))/100))+5.0)/(1-(((MIN(($J$8),99))/100))+5.0))))*100))/100))*0.96)),(((((MIN(($J$7),99))/100))+5.0)/(1-(((MIN(($J$7),99))/100))+5.0))))*100))/100))*0.96)),(((((MIN((J$6),99))/100))+5.0)/(1-(((MIN((J$6),99))/100))+5.0))))*100))/100))*0.96)),(((((MIN(($J$5),99))/100))+5.0)/(1-(((MIN(($J$5),99))/100))+5.0))))*100))/100))*0.96)),(((((MIN((J4),99))/100))+5.0)/(1-(((MIN((J4),99))/100))+5.0))))*100))/100))*0.96)),(((((MIN((J3),99))/100))+5.0)/(1-(((MIN((J3),99))/100))+5.0))))*100))/100))*0.96)),(((((MIN((J2),99))/100))+5.0)/(1-(((MIN((J2),99))/100))+5.0))))*100),0)</f>
        <v/>
      </c>
      <c r="K1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(36)/100))*0.96)),(((((MIN((J$18),99))/100))+5.0)/(1-(((MIN((J$18),99))/100))+5.0))))*100))/100))*0.96)),(((((MIN(($I18),99))/100))+5.0)/(1-(((MIN(($I18),99))/100))+5.0))))*100))/100))*0.96)),(((((MIN((H18),99))/100))+5.0)/(1-(((MIN((H18),99))/100))+5.0))))*100))/100))*0.96)),(((((MIN(($G$18),99))/100))+5.0)/(1-(((MIN(($G$18),99))/100))+5.0))))*100))/100))*0.96)),(((((MIN((F$18),99))/100))+5.0)/(1-(((MIN((F$18),99))/100))+5.0))))*100))/100))*0.96)),(((((MIN(($E$18),99))/100))+5.0)/(1-(((MIN(($E$18),99))/100))+5.0))))*100))/100))*0.96)),(((((MIN((D$18),99))/100))+5.0)/(1-(((MIN((D$18),99))/100))+5.0))))*100))/100))*0.96)),(((((MIN((C$18),99))/100))+5.0)/(1-(((MIN((C$18),99))/100))+5.0))))*100))/100))*0.96)),(((((MIN(($K17),99))/100))+5.0)/(1-(((MIN(($K17),99))/100))+5.0))))*100))/100))*0.96)),(((((MIN((K16),99))/100))+5.0)/(1-(((MIN((K16),99))/100))+5.0))))*100))/100))*0.96)),(((((MIN(($K15),99))/100))+5.0)/(1-(((MIN(($K15),99))/100))+5.0))))*100))/100))*0.96)),(((((MIN((K$14),99))/100))+5.0)/(1-(((MIN((K$14),99))/100))+5.0))))*100))/100))*0.96)),(((((MIN(($K$13),99))/100))+5.0)/(1-(((MIN(($K$13),99))/100))+5.0))))*100))/100))*0.96)),(((((MIN(($K12),99))/100))+5.0)/(1-(((MIN(($K12),99))/100))+5.0))))*100))/100))*0.96)),(((((MIN(($K11),99))/100))+5.0)/(1-(((MIN(($K11),99))/100))+5.0))))*100))/100))*0.96)),(((((MIN((K$10),99))/100))+5.0)/(1-(((MIN((K$10),99))/100))+5.0))))*100))/100))*0.96)),(((((MIN(($K9),99))/100))+5.0)/(1-(((MIN(($K9),99))/100))+5.0))))*100))/100))*0.96)),(((((MIN(($K8),99))/100))+5.0)/(1-(((MIN(($K8),99))/100))+5.0))))*100))/100))*0.96)),(((((MIN((K$7),99))/100))+5.0)/(1-(((MIN((K$7),99))/100))+5.0))))*100))/100))*0.96)),(((((MIN((K6),99))/100))+5.0)/(1-(((MIN((K6),99))/100))+5.0))))*100))/100))*0.96)),(((((MIN(($K$5),99))/100))+5.0)/(1-(((MIN(($K$5),99))/100))+5.0))))*100))/100))*0.96)),(((((MIN(($K$4),99))/100))+5.0)/(1-(((MIN(($K$4),99))/100))+5.0))))*100))/100))*0.96)),(((((MIN((K3),99))/100))+5.0)/(1-(((MIN((K3),99))/100))+5.0))))*100))/100))*0.96)),(((((MIN(($K$2),99))/100))+5.0)/(1-(((MIN(($K$2),99))/100))+5.0))))*100),0)</f>
        <v/>
      </c>
      <c r="L1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(39)/100))*0.96)),(((((MIN((K18),99))/100))+5.0)/(1-(((MIN((K18),99))/100))+5.0))))*100))/100))*0.96)),(((((MIN(($J18),99))/100))+5.0)/(1-(((MIN(($J18),99))/100))+5.0))))*100))/100))*0.96)),(((((MIN((I$18),99))/100))+5.0)/(1-(((MIN((I$18),99))/100))+5.0))))*100))/100))*0.96)),(((((MIN(($H$18),99))/100))+5.0)/(1-(((MIN(($H$18),99))/100))+5.0))))*100))/100))*0.96)),(((((MIN(($G$18),99))/100))+5.0)/(1-(((MIN(($G$18),99))/100))+5.0))))*100))/100))*0.96)),(((((MIN((F18),99))/100))+5.0)/(1-(((MIN((F18),99))/100))+5.0))))*100))/100))*0.96)),(((((MIN(($E$18),99))/100))+5.0)/(1-(((MIN(($E$18),99))/100))+5.0))))*100))/100))*0.96)),(((((MIN(($D$18),99))/100))+5.0)/(1-(((MIN(($D$18),99))/100))+5.0))))*100))/100))*0.96)),(((((MIN((L$17),99))/100))+5.0)/(1-(((MIN((L$17),99))/100))+5.0))))*100))/100))*0.96)),(((((MIN(($L$16),99))/100))+5.0)/(1-(((MIN(($L$16),99))/100))+5.0))))*100))/100))*0.96)),(((((MIN(($L$15),99))/100))+5.0)/(1-(((MIN(($L$15),99))/100))+5.0))))*100))/100))*0.96)),(((((MIN((L$14),99))/100))+5.0)/(1-(((MIN((L$14),99))/100))+5.0))))*100))/100))*0.96)),(((((MIN(($L$13),99))/100))+5.0)/(1-(((MIN(($L$13),99))/100))+5.0))))*100))/100))*0.96)),(((((MIN((L12),99))/100))+5.0)/(1-(((MIN((L12),99))/100))+5.0))))*100))/100))*0.96)),(((((MIN(($L$11),99))/100))+5.0)/(1-(((MIN(($L$11),99))/100))+5.0))))*100))/100))*0.96)),(((((MIN(($L$10),99))/100))+5.0)/(1-(((MIN(($L$10),99))/100))+5.0))))*100))/100))*0.96)),(((((MIN(($L$9),99))/100))+5.0)/(1-(((MIN(($L$9),99))/100))+5.0))))*100))/100))*0.96)),(((((MIN(($L$8),99))/100))+5.0)/(1-(((MIN(($L$8),99))/100))+5.0))))*100))/100))*0.96)),(((((MIN(($L$7),99))/100))+5.0)/(1-(((MIN(($L$7),99))/100))+5.0))))*100))/100))*0.96)),(((((MIN((L$6),99))/100))+5.0)/(1-(((MIN((L$6),99))/100))+5.0))))*100))/100))*0.96)),(((((MIN(($L$5),99))/100))+5.0)/(1-(((MIN(($L$5),99))/100))+5.0))))*100))/100))*0.96)),(((((MIN((L$4),99))/100))+5.0)/(1-(((MIN((L$4),99))/100))+5.0))))*100))/100))*0.96)),(((((MIN((L$3),99))/100))+5.0)/(1-(((MIN((L$3),99))/100))+5.0))))*100))/100))*0.96)),(((((MIN((L$2),99))/100))+5.0)/(1-(((MIN((L$2),99))/100))+5.0))))*100),0)</f>
        <v/>
      </c>
      <c r="M1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(92)/100))*0.96)),(((((MIN((L$18),99))/100))+5.0)/(1-(((MIN((L$18),99))/100))+5.0))))*100))/100))*0.96)),(((((MIN((K18),99))/100))+5.0)/(1-(((MIN((K18),99))/100))+5.0))))*100))/100))*0.96)),(((((MIN((J18),99))/100))+5.0)/(1-(((MIN((J18),99))/100))+5.0))))*100))/100))*0.96)),(((((MIN((I18),99))/100))+5.0)/(1-(((MIN((I18),99))/100))+5.0))))*100))/100))*0.96)),(((((MIN((H$18),99))/100))+5.0)/(1-(((MIN((H$18),99))/100))+5.0))))*100))/100))*0.96)),(((((MIN((G18),99))/100))+5.0)/(1-(((MIN((G18),99))/100))+5.0))))*100))/100))*0.96)),(((((MIN(($F18),99))/100))+5.0)/(1-(((MIN(($F18),99))/100))+5.0))))*100))/100))*0.96)),(((((MIN(($E$18),99))/100))+5.0)/(1-(((MIN(($E$18),99))/100))+5.0))))*100))/100))*0.96)),(((((MIN(($M17),99))/100))+5.0)/(1-(((MIN(($M17),99))/100))+5.0))))*100))/100))*0.96)),(((((MIN(($M16),99))/100))+5.0)/(1-(((MIN(($M16),99))/100))+5.0))))*100))/100))*0.96)),(((((MIN(($M$15),99))/100))+5.0)/(1-(((MIN(($M$15),99))/100))+5.0))))*100))/100))*0.96)),(((((MIN((M$14),99))/100))+5.0)/(1-(((MIN((M$14),99))/100))+5.0))))*100))/100))*0.96)),(((((MIN(($M$13),99))/100))+5.0)/(1-(((MIN(($M$13),99))/100))+5.0))))*100))/100))*0.96)),(((((MIN(($M12),99))/100))+5.0)/(1-(((MIN(($M12),99))/100))+5.0))))*100))/100))*0.96)),(((((MIN(($M$11),99))/100))+5.0)/(1-(((MIN(($M$11),99))/100))+5.0))))*100))/100))*0.96)),(((((MIN((M10),99))/100))+5.0)/(1-(((MIN((M10),99))/100))+5.0))))*100))/100))*0.96)),(((((MIN(($M$9),99))/100))+5.0)/(1-(((MIN(($M$9),99))/100))+5.0))))*100))/100))*0.96)),(((((MIN(($M8),99))/100))+5.0)/(1-(((MIN(($M8),99))/100))+5.0))))*100))/100))*0.96)),(((((MIN((M7),99))/100))+5.0)/(1-(((MIN((M7),99))/100))+5.0))))*100))/100))*0.96)),(((((MIN(($M$6),99))/100))+5.0)/(1-(((MIN(($M$6),99))/100))+5.0))))*100))/100))*0.96)),(((((MIN(($M5),99))/100))+5.0)/(1-(((MIN(($M5),99))/100))+5.0))))*100))/100))*0.96)),(((((MIN((M$4),99))/100))+5.0)/(1-(((MIN((M$4),99))/100))+5.0))))*100))/100))*0.96)),(((((MIN((M$3),99))/100))+5.0)/(1-(((MIN((M$3),99))/100))+5.0))))*100))/100))*0.96)),(((((MIN((M2),99))/100))+5.0)/(1-(((MIN((M2),99))/100))+5.0))))*100),0)</f>
        <v/>
      </c>
      <c r="N1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(24)/100))*0.96)),(((((MIN((M$18),99))/100))+5.0)/(1-(((MIN((M$18),99))/100))+5.0))))*100))/100))*0.96)),(((((MIN((L18),99))/100))+5.0)/(1-(((MIN((L18),99))/100))+5.0))))*100))/100))*0.96)),(((((MIN(($K$18),99))/100))+5.0)/(1-(((MIN(($K$18),99))/100))+5.0))))*100))/100))*0.96)),(((((MIN(($J$18),99))/100))+5.0)/(1-(((MIN(($J$18),99))/100))+5.0))))*100))/100))*0.96)),(((((MIN((I18),99))/100))+5.0)/(1-(((MIN((I18),99))/100))+5.0))))*100))/100))*0.96)),(((((MIN(($H18),99))/100))+5.0)/(1-(((MIN(($H18),99))/100))+5.0))))*100))/100))*0.96)),(((((MIN(($G18),99))/100))+5.0)/(1-(((MIN(($G18),99))/100))+5.0))))*100))/100))*0.96)),(((((MIN((F18),99))/100))+5.0)/(1-(((MIN((F18),99))/100))+5.0))))*100))/100))*0.96)),(((((MIN(($N$17),99))/100))+5.0)/(1-(((MIN(($N$17),99))/100))+5.0))))*100))/100))*0.96)),(((((MIN((N16),99))/100))+5.0)/(1-(((MIN((N16),99))/100))+5.0))))*100))/100))*0.96)),(((((MIN((N15),99))/100))+5.0)/(1-(((MIN((N15),99))/100))+5.0))))*100))/100))*0.96)),(((((MIN(($N$14),99))/100))+5.0)/(1-(((MIN(($N$14),99))/100))+5.0))))*100))/100))*0.96)),(((((MIN((N$13),99))/100))+5.0)/(1-(((MIN((N$13),99))/100))+5.0))))*100))/100))*0.96)),(((((MIN(($N$12),99))/100))+5.0)/(1-(((MIN(($N$12),99))/100))+5.0))))*100))/100))*0.96)),(((((MIN((N11),99))/100))+5.0)/(1-(((MIN((N11),99))/100))+5.0))))*100))/100))*0.96)),(((((MIN(($N$10),99))/100))+5.0)/(1-(((MIN(($N$10),99))/100))+5.0))))*100))/100))*0.96)),(((((MIN((N$9),99))/100))+5.0)/(1-(((MIN((N$9),99))/100))+5.0))))*100))/100))*0.96)),(((((MIN((N$8),99))/100))+5.0)/(1-(((MIN((N$8),99))/100))+5.0))))*100))/100))*0.96)),(((((MIN(($N7),99))/100))+5.0)/(1-(((MIN(($N7),99))/100))+5.0))))*100))/100))*0.96)),(((((MIN(($N$6),99))/100))+5.0)/(1-(((MIN(($N$6),99))/100))+5.0))))*100))/100))*0.96)),(((((MIN(($N$5),99))/100))+5.0)/(1-(((MIN(($N$5),99))/100))+5.0))))*100))/100))*0.96)),(((((MIN((N$4),99))/100))+5.0)/(1-(((MIN((N$4),99))/100))+5.0))))*100))/100))*0.96)),(((((MIN(($N$3),99))/100))+5.0)/(1-(((MIN(($N$3),99))/100))+5.0))))*100))/100))*0.96)),(((((MIN((N2),99))/100))+5.0)/(1-(((MIN((N2),99))/100))+5.0))))*100),0)</f>
        <v/>
      </c>
      <c r="O1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(86)/100))*0.96)),(((((MIN((N$18),99))/100))+5.0)/(1-(((MIN((N$18),99))/100))+5.0))))*100))/100))*0.96)),(((((MIN(($M$18),99))/100))+5.0)/(1-(((MIN(($M$18),99))/100))+5.0))))*100))/100))*0.96)),(((((MIN((L18),99))/100))+5.0)/(1-(((MIN((L18),99))/100))+5.0))))*100))/100))*0.96)),(((((MIN(($K$18),99))/100))+5.0)/(1-(((MIN(($K$18),99))/100))+5.0))))*100))/100))*0.96)),(((((MIN(($J$18),99))/100))+5.0)/(1-(((MIN(($J$18),99))/100))+5.0))))*100))/100))*0.96)),(((((MIN(($I18),99))/100))+5.0)/(1-(((MIN(($I18),99))/100))+5.0))))*100))/100))*0.96)),(((((MIN((H18),99))/100))+5.0)/(1-(((MIN((H18),99))/100))+5.0))))*100))/100))*0.96)),(((((MIN(($G$18),99))/100))+5.0)/(1-(((MIN(($G$18),99))/100))+5.0))))*100))/100))*0.96)),(((((MIN((O17),99))/100))+5.0)/(1-(((MIN((O17),99))/100))+5.0))))*100))/100))*0.96)),(((((MIN((O16),99))/100))+5.0)/(1-(((MIN((O16),99))/100))+5.0))))*100))/100))*0.96)),(((((MIN(($O15),99))/100))+5.0)/(1-(((MIN(($O15),99))/100))+5.0))))*100))/100))*0.96)),(((((MIN(($O$14),99))/100))+5.0)/(1-(((MIN(($O$14),99))/100))+5.0))))*100))/100))*0.96)),(((((MIN(($O$13),99))/100))+5.0)/(1-(((MIN(($O$13),99))/100))+5.0))))*100))/100))*0.96)),(((((MIN((O$12),99))/100))+5.0)/(1-(((MIN((O$12),99))/100))+5.0))))*100))/100))*0.96)),(((((MIN((O11),99))/100))+5.0)/(1-(((MIN((O11),99))/100))+5.0))))*100))/100))*0.96)),(((((MIN(($O10),99))/100))+5.0)/(1-(((MIN(($O10),99))/100))+5.0))))*100))/100))*0.96)),(((((MIN((O$9),99))/100))+5.0)/(1-(((MIN((O$9),99))/100))+5.0))))*100))/100))*0.96)),(((((MIN(($O$8),99))/100))+5.0)/(1-(((MIN(($O$8),99))/100))+5.0))))*100))/100))*0.96)),(((((MIN((O$7),99))/100))+5.0)/(1-(((MIN((O$7),99))/100))+5.0))))*100))/100))*0.96)),(((((MIN((O$6),99))/100))+5.0)/(1-(((MIN((O$6),99))/100))+5.0))))*100))/100))*0.96)),(((((MIN((O5),99))/100))+5.0)/(1-(((MIN((O5),99))/100))+5.0))))*100))/100))*0.96)),(((((MIN((O4),99))/100))+5.0)/(1-(((MIN((O4),99))/100))+5.0))))*100))/100))*0.96)),(((((MIN((O3),99))/100))+5.0)/(1-(((MIN((O3),99))/100))+5.0))))*100))/100))*0.96)),(((((MIN(($O2),99))/100))+5.0)/(1-(((MIN(($O2),99))/100))+5.0))))*100),0)</f>
        <v/>
      </c>
      <c r="P1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(89)/100))*0.96)),(((((MIN((O$18),99))/100))+5.0)/(1-(((MIN((O$18),99))/100))+5.0))))*100))/100))*0.96)),(((((MIN(($N$18),99))/100))+5.0)/(1-(((MIN(($N$18),99))/100))+5.0))))*100))/100))*0.96)),(((((MIN((M$18),99))/100))+5.0)/(1-(((MIN((M$18),99))/100))+5.0))))*100))/100))*0.96)),(((((MIN((L$18),99))/100))+5.0)/(1-(((MIN((L$18),99))/100))+5.0))))*100))/100))*0.96)),(((((MIN(($K18),99))/100))+5.0)/(1-(((MIN(($K18),99))/100))+5.0))))*100))/100))*0.96)),(((((MIN(($J$18),99))/100))+5.0)/(1-(((MIN(($J$18),99))/100))+5.0))))*100))/100))*0.96)),(((((MIN(($I18),99))/100))+5.0)/(1-(((MIN(($I18),99))/100))+5.0))))*100))/100))*0.96)),(((((MIN((H$18),99))/100))+5.0)/(1-(((MIN((H$18),99))/100))+5.0))))*100))/100))*0.96)),(((((MIN((P$17),99))/100))+5.0)/(1-(((MIN((P$17),99))/100))+5.0))))*100))/100))*0.96)),(((((MIN((P$16),99))/100))+5.0)/(1-(((MIN((P$16),99))/100))+5.0))))*100))/100))*0.96)),(((((MIN(($P15),99))/100))+5.0)/(1-(((MIN(($P15),99))/100))+5.0))))*100))/100))*0.96)),(((((MIN(($P14),99))/100))+5.0)/(1-(((MIN(($P14),99))/100))+5.0))))*100))/100))*0.96)),(((((MIN(($P$13),99))/100))+5.0)/(1-(((MIN(($P$13),99))/100))+5.0))))*100))/100))*0.96)),(((((MIN(($P12),99))/100))+5.0)/(1-(((MIN(($P12),99))/100))+5.0))))*100))/100))*0.96)),(((((MIN(($P11),99))/100))+5.0)/(1-(((MIN(($P11),99))/100))+5.0))))*100))/100))*0.96)),(((((MIN((P10),99))/100))+5.0)/(1-(((MIN((P10),99))/100))+5.0))))*100))/100))*0.96)),(((((MIN(($P$9),99))/100))+5.0)/(1-(((MIN(($P$9),99))/100))+5.0))))*100))/100))*0.96)),(((((MIN(($P8),99))/100))+5.0)/(1-(((MIN(($P8),99))/100))+5.0))))*100))/100))*0.96)),(((((MIN((P7),99))/100))+5.0)/(1-(((MIN((P7),99))/100))+5.0))))*100))/100))*0.96)),(((((MIN(($P$6),99))/100))+5.0)/(1-(((MIN(($P$6),99))/100))+5.0))))*100))/100))*0.96)),(((((MIN(($P$5),99))/100))+5.0)/(1-(((MIN(($P$5),99))/100))+5.0))))*100))/100))*0.96)),(((((MIN((P4),99))/100))+5.0)/(1-(((MIN((P4),99))/100))+5.0))))*100))/100))*0.96)),(((((MIN((P$3),99))/100))+5.0)/(1-(((MIN((P$3),99))/100))+5.0))))*100))/100))*0.96)),(((((MIN(($P$2),99))/100))+5.0)/(1-(((MIN(($P$2),99))/100))+5.0))))*100),0)</f>
        <v/>
      </c>
      <c r="Q1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(24)/100))*0.96)),(((((MIN((P18),99))/100))+5.0)/(1-(((MIN((P18),99))/100))+5.0))))*100))/100))*0.96)),(((((MIN(($O$18),99))/100))+5.0)/(1-(((MIN(($O$18),99))/100))+5.0))))*100))/100))*0.96)),(((((MIN((N18),99))/100))+5.0)/(1-(((MIN((N18),99))/100))+5.0))))*100))/100))*0.96)),(((((MIN((M18),99))/100))+5.0)/(1-(((MIN((M18),99))/100))+5.0))))*100))/100))*0.96)),(((((MIN(($L18),99))/100))+5.0)/(1-(((MIN(($L18),99))/100))+5.0))))*100))/100))*0.96)),(((((MIN((K$18),99))/100))+5.0)/(1-(((MIN((K$18),99))/100))+5.0))))*100))/100))*0.96)),(((((MIN(($J$18),99))/100))+5.0)/(1-(((MIN(($J$18),99))/100))+5.0))))*100))/100))*0.96)),(((((MIN(($I$18),99))/100))+5.0)/(1-(((MIN(($I$18),99))/100))+5.0))))*100))/100))*0.96)),(((((MIN(($Q$17),99))/100))+5.0)/(1-(((MIN(($Q$17),99))/100))+5.0))))*100))/100))*0.96)),(((((MIN((Q$16),99))/100))+5.0)/(1-(((MIN((Q$16),99))/100))+5.0))))*100))/100))*0.96)),(((((MIN((Q15),99))/100))+5.0)/(1-(((MIN((Q15),99))/100))+5.0))))*100))/100))*0.96)),(((((MIN((Q$14),99))/100))+5.0)/(1-(((MIN((Q$14),99))/100))+5.0))))*100))/100))*0.96)),(((((MIN((Q13),99))/100))+5.0)/(1-(((MIN((Q13),99))/100))+5.0))))*100))/100))*0.96)),(((((MIN(($Q$12),99))/100))+5.0)/(1-(((MIN(($Q$12),99))/100))+5.0))))*100))/100))*0.96)),(((((MIN((Q$11),99))/100))+5.0)/(1-(((MIN((Q$11),99))/100))+5.0))))*100))/100))*0.96)),(((((MIN(($Q$10),99))/100))+5.0)/(1-(((MIN(($Q$10),99))/100))+5.0))))*100))/100))*0.96)),(((((MIN(($Q$9),99))/100))+5.0)/(1-(((MIN(($Q$9),99))/100))+5.0))))*100))/100))*0.96)),(((((MIN(($Q$8),99))/100))+5.0)/(1-(((MIN(($Q$8),99))/100))+5.0))))*100))/100))*0.96)),(((((MIN((Q$7),99))/100))+5.0)/(1-(((MIN((Q$7),99))/100))+5.0))))*100))/100))*0.96)),(((((MIN((Q$6),99))/100))+5.0)/(1-(((MIN((Q$6),99))/100))+5.0))))*100))/100))*0.96)),(((((MIN(($Q5),99))/100))+5.0)/(1-(((MIN(($Q5),99))/100))+5.0))))*100))/100))*0.96)),(((((MIN((Q4),99))/100))+5.0)/(1-(((MIN((Q4),99))/100))+5.0))))*100))/100))*0.96)),(((((MIN(($Q$3),99))/100))+5.0)/(1-(((MIN(($Q$3),99))/100))+5.0))))*100))/100))*0.96)),(((((MIN(($Q$2),99))/100))+5.0)/(1-(((MIN(($Q$2),99))/100))+5.0))))*100),0)</f>
        <v/>
      </c>
      <c r="R1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(31)/100))*0.96)),(((((MIN((Q18),99))/100))+5.0)/(1-(((MIN((Q18),99))/100))+5.0))))*100))/100))*0.96)),(((((MIN(($P18),99))/100))+5.0)/(1-(((MIN(($P18),99))/100))+5.0))))*100))/100))*0.96)),(((((MIN(($O18),99))/100))+5.0)/(1-(((MIN(($O18),99))/100))+5.0))))*100))/100))*0.96)),(((((MIN((N18),99))/100))+5.0)/(1-(((MIN((N18),99))/100))+5.0))))*100))/100))*0.96)),(((((MIN((M18),99))/100))+5.0)/(1-(((MIN((M18),99))/100))+5.0))))*100))/100))*0.96)),(((((MIN(($L$18),99))/100))+5.0)/(1-(((MIN(($L$18),99))/100))+5.0))))*100))/100))*0.96)),(((((MIN(($K$18),99))/100))+5.0)/(1-(((MIN(($K$18),99))/100))+5.0))))*100))/100))*0.96)),(((((MIN(($J18),99))/100))+5.0)/(1-(((MIN(($J18),99))/100))+5.0))))*100))/100))*0.96)),(((((MIN(($R$17),99))/100))+5.0)/(1-(((MIN(($R$17),99))/100))+5.0))))*100))/100))*0.96)),(((((MIN(($R16),99))/100))+5.0)/(1-(((MIN(($R16),99))/100))+5.0))))*100))/100))*0.96)),(((((MIN(($R$15),99))/100))+5.0)/(1-(((MIN(($R$15),99))/100))+5.0))))*100))/100))*0.96)),(((((MIN((R14),99))/100))+5.0)/(1-(((MIN((R14),99))/100))+5.0))))*100))/100))*0.96)),(((((MIN((R$13),99))/100))+5.0)/(1-(((MIN((R$13),99))/100))+5.0))))*100))/100))*0.96)),(((((MIN(($R$12),99))/100))+5.0)/(1-(((MIN(($R$12),99))/100))+5.0))))*100))/100))*0.96)),(((((MIN((R$11),99))/100))+5.0)/(1-(((MIN((R$11),99))/100))+5.0))))*100))/100))*0.96)),(((((MIN(($R$10),99))/100))+5.0)/(1-(((MIN(($R$10),99))/100))+5.0))))*100))/100))*0.96)),(((((MIN((R9),99))/100))+5.0)/(1-(((MIN((R9),99))/100))+5.0))))*100))/100))*0.96)),(((((MIN((R$8),99))/100))+5.0)/(1-(((MIN((R$8),99))/100))+5.0))))*100))/100))*0.96)),(((((MIN(($R$7),99))/100))+5.0)/(1-(((MIN(($R$7),99))/100))+5.0))))*100))/100))*0.96)),(((((MIN((R6),99))/100))+5.0)/(1-(((MIN((R6),99))/100))+5.0))))*100))/100))*0.96)),(((((MIN(($R$5),99))/100))+5.0)/(1-(((MIN(($R$5),99))/100))+5.0))))*100))/100))*0.96)),(((((MIN((R$4),99))/100))+5.0)/(1-(((MIN((R$4),99))/100))+5.0))))*100))/100))*0.96)),(((((MIN(($R$3),99))/100))+5.0)/(1-(((MIN(($R$3),99))/100))+5.0))))*100))/100))*0.96)),(((((MIN(($R$2),99))/100))+5.0)/(1-(((MIN(($R$2),99))/100))+5.0))))*100),0)</f>
        <v/>
      </c>
      <c r="S1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(95)/100))*0.96)),(((((MIN(($R18),99))/100))+5.0)/(1-(((MIN(($R18),99))/100))+5.0))))*100))/100))*0.96)),(((((MIN(($Q$18),99))/100))+5.0)/(1-(((MIN(($Q$18),99))/100))+5.0))))*100))/100))*0.96)),(((((MIN((P$18),99))/100))+5.0)/(1-(((MIN((P$18),99))/100))+5.0))))*100))/100))*0.96)),(((((MIN((O$18),99))/100))+5.0)/(1-(((MIN((O$18),99))/100))+5.0))))*100))/100))*0.96)),(((((MIN(($N$18),99))/100))+5.0)/(1-(((MIN(($N$18),99))/100))+5.0))))*100))/100))*0.96)),(((((MIN((M18),99))/100))+5.0)/(1-(((MIN((M18),99))/100))+5.0))))*100))/100))*0.96)),(((((MIN((L18),99))/100))+5.0)/(1-(((MIN((L18),99))/100))+5.0))))*100))/100))*0.96)),(((((MIN((K$18),99))/100))+5.0)/(1-(((MIN((K$18),99))/100))+5.0))))*100))/100))*0.96)),(((((MIN(($S17),99))/100))+5.0)/(1-(((MIN(($S17),99))/100))+5.0))))*100))/100))*0.96)),(((((MIN(($S16),99))/100))+5.0)/(1-(((MIN(($S16),99))/100))+5.0))))*100))/100))*0.96)),(((((MIN((S$15),99))/100))+5.0)/(1-(((MIN((S$15),99))/100))+5.0))))*100))/100))*0.96)),(((((MIN(($S14),99))/100))+5.0)/(1-(((MIN(($S14),99))/100))+5.0))))*100))/100))*0.96)),(((((MIN(($S13),99))/100))+5.0)/(1-(((MIN(($S13),99))/100))+5.0))))*100))/100))*0.96)),(((((MIN((S12),99))/100))+5.0)/(1-(((MIN((S12),99))/100))+5.0))))*100))/100))*0.96)),(((((MIN(($S$11),99))/100))+5.0)/(1-(((MIN(($S$11),99))/100))+5.0))))*100))/100))*0.96)),(((((MIN(($S10),99))/100))+5.0)/(1-(((MIN(($S10),99))/100))+5.0))))*100))/100))*0.96)),(((((MIN(($S9),99))/100))+5.0)/(1-(((MIN(($S9),99))/100))+5.0))))*100))/100))*0.96)),(((((MIN((S8),99))/100))+5.0)/(1-(((MIN((S8),99))/100))+5.0))))*100))/100))*0.96)),(((((MIN(($S$7),99))/100))+5.0)/(1-(((MIN(($S$7),99))/100))+5.0))))*100))/100))*0.96)),(((((MIN(($S6),99))/100))+5.0)/(1-(((MIN(($S6),99))/100))+5.0))))*100))/100))*0.96)),(((((MIN((S$5),99))/100))+5.0)/(1-(((MIN((S$5),99))/100))+5.0))))*100))/100))*0.96)),(((((MIN((S$4),99))/100))+5.0)/(1-(((MIN((S$4),99))/100))+5.0))))*100))/100))*0.96)),(((((MIN(($S3),99))/100))+5.0)/(1-(((MIN(($S3),99))/100))+5.0))))*100))/100))*0.96)),(((((MIN((S2),99))/100))+5.0)/(1-(((MIN((S2),99))/100))+5.0))))*100),0)</f>
        <v/>
      </c>
      <c r="T1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(70)/100))*0.96)),(((((MIN(($S18),99))/100))+5.0)/(1-(((MIN(($S18),99))/100))+5.0))))*100))/100))*0.96)),(((((MIN(($R$18),99))/100))+5.0)/(1-(((MIN(($R$18),99))/100))+5.0))))*100))/100))*0.96)),(((((MIN((Q$18),99))/100))+5.0)/(1-(((MIN((Q$18),99))/100))+5.0))))*100))/100))*0.96)),(((((MIN((P$18),99))/100))+5.0)/(1-(((MIN((P$18),99))/100))+5.0))))*100))/100))*0.96)),(((((MIN((O$18),99))/100))+5.0)/(1-(((MIN((O$18),99))/100))+5.0))))*100))/100))*0.96)),(((((MIN((N18),99))/100))+5.0)/(1-(((MIN((N18),99))/100))+5.0))))*100))/100))*0.96)),(((((MIN((M18),99))/100))+5.0)/(1-(((MIN((M18),99))/100))+5.0))))*100))/100))*0.96)),(((((MIN((L18),99))/100))+5.0)/(1-(((MIN((L18),99))/100))+5.0))))*100))/100))*0.96)),(((((MIN((T17),99))/100))+5.0)/(1-(((MIN((T17),99))/100))+5.0))))*100))/100))*0.96)),(((((MIN((T$16),99))/100))+5.0)/(1-(((MIN((T$16),99))/100))+5.0))))*100))/100))*0.96)),(((((MIN(($T15),99))/100))+5.0)/(1-(((MIN(($T15),99))/100))+5.0))))*100))/100))*0.96)),(((((MIN((T14),99))/100))+5.0)/(1-(((MIN((T14),99))/100))+5.0))))*100))/100))*0.96)),(((((MIN((T$13),99))/100))+5.0)/(1-(((MIN((T$13),99))/100))+5.0))))*100))/100))*0.96)),(((((MIN((T12),99))/100))+5.0)/(1-(((MIN((T12),99))/100))+5.0))))*100))/100))*0.96)),(((((MIN(($T$11),99))/100))+5.0)/(1-(((MIN(($T$11),99))/100))+5.0))))*100))/100))*0.96)),(((((MIN(($T$10),99))/100))+5.0)/(1-(((MIN(($T$10),99))/100))+5.0))))*100))/100))*0.96)),(((((MIN((T9),99))/100))+5.0)/(1-(((MIN((T9),99))/100))+5.0))))*100))/100))*0.96)),(((((MIN((T8),99))/100))+5.0)/(1-(((MIN((T8),99))/100))+5.0))))*100))/100))*0.96)),(((((MIN(($T$7),99))/100))+5.0)/(1-(((MIN(($T$7),99))/100))+5.0))))*100))/100))*0.96)),(((((MIN(($T6),99))/100))+5.0)/(1-(((MIN(($T6),99))/100))+5.0))))*100))/100))*0.96)),(((((MIN((T5),99))/100))+5.0)/(1-(((MIN((T5),99))/100))+5.0))))*100))/100))*0.96)),(((((MIN(($T$4),99))/100))+5.0)/(1-(((MIN(($T$4),99))/100))+5.0))))*100))/100))*0.96)),(((((MIN((T3),99))/100))+5.0)/(1-(((MIN((T3),99))/100))+5.0))))*100))/100))*0.96)),(((((MIN(($T2),99))/100))+5.0)/(1-(((MIN(($T2),99))/100))+5.0))))*100),0)</f>
        <v/>
      </c>
    </row>
    <row r="19">
      <c r="A1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(19)/100))*0.96)),(((((MIN((A18),99))/100))+5.0)/(1-(((MIN((A18),99))/100))+5.0))))*100))/100))*0.96)),(((((MIN(($A17),99))/100))+5.0)/(1-(((MIN(($A17),99))/100))+5.0))))*100))/100))*0.96)),(((((MIN(($A16),99))/100))+5.0)/(1-(((MIN(($A16),99))/100))+5.0))))*100))/100))*0.96)),(((((MIN((A15),99))/100))+5.0)/(1-(((MIN((A15),99))/100))+5.0))))*100))/100))*0.96)),(((((MIN((A$14),99))/100))+5.0)/(1-(((MIN((A$14),99))/100))+5.0))))*100))/100))*0.96)),(((((MIN(($A13),99))/100))+5.0)/(1-(((MIN(($A13),99))/100))+5.0))))*100))/100))*0.96)),(((((MIN((A12),99))/100))+5.0)/(1-(((MIN((A12),99))/100))+5.0))))*100))/100))*0.96)),(((((MIN(($A11),99))/100))+5.0)/(1-(((MIN(($A11),99))/100))+5.0))))*100))/100))*0.96)),(((((MIN(($A10),99))/100))+5.0)/(1-(((MIN(($A10),99))/100))+5.0))))*100))/100))*0.96)),(((((MIN((A$9),99))/100))+5.0)/(1-(((MIN((A$9),99))/100))+5.0))))*100))/100))*0.96)),(((((MIN(($A$8),99))/100))+5.0)/(1-(((MIN(($A$8),99))/100))+5.0))))*100))/100))*0.96)),(((((MIN(($A$7),99))/100))+5.0)/(1-(((MIN(($A$7),99))/100))+5.0))))*100))/100))*0.96)),(((((MIN(($A$6),99))/100))+5.0)/(1-(((MIN(($A$6),99))/100))+5.0))))*100))/100))*0.96)),(((((MIN((A$5),99))/100))+5.0)/(1-(((MIN((A$5),99))/100))+5.0))))*100))/100))*0.96)),(((((MIN((A$4),99))/100))+5.0)/(1-(((MIN((A$4),99))/100))+5.0))))*100))/100))*0.96)),(((((MIN((A3),99))/100))+5.0)/(1-(((MIN((A3),99))/100))+5.0))))*100),0)</f>
        <v/>
      </c>
      <c r="B1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(27)/100))*0.96)),(((((MIN(($A19),99))/100))+5.0)/(1-(((MIN(($A19),99))/100))+5.0))))*100))/100))*0.96)),(((((MIN(($B$18),99))/100))+5.0)/(1-(((MIN(($B$18),99))/100))+5.0))))*100))/100))*0.96)),(((((MIN(($B17),99))/100))+5.0)/(1-(((MIN(($B17),99))/100))+5.0))))*100))/100))*0.96)),(((((MIN((B16),99))/100))+5.0)/(1-(((MIN((B16),99))/100))+5.0))))*100))/100))*0.96)),(((((MIN((B15),99))/100))+5.0)/(1-(((MIN((B15),99))/100))+5.0))))*100))/100))*0.96)),(((((MIN(($B$14),99))/100))+5.0)/(1-(((MIN(($B$14),99))/100))+5.0))))*100))/100))*0.96)),(((((MIN((B13),99))/100))+5.0)/(1-(((MIN((B13),99))/100))+5.0))))*100))/100))*0.96)),(((((MIN((B12),99))/100))+5.0)/(1-(((MIN((B12),99))/100))+5.0))))*100))/100))*0.96)),(((((MIN((B$11),99))/100))+5.0)/(1-(((MIN((B$11),99))/100))+5.0))))*100))/100))*0.96)),(((((MIN(($B10),99))/100))+5.0)/(1-(((MIN(($B10),99))/100))+5.0))))*100))/100))*0.96)),(((((MIN((B$9),99))/100))+5.0)/(1-(((MIN((B$9),99))/100))+5.0))))*100))/100))*0.96)),(((((MIN(($B$8),99))/100))+5.0)/(1-(((MIN(($B$8),99))/100))+5.0))))*100))/100))*0.96)),(((((MIN(($B7),99))/100))+5.0)/(1-(((MIN(($B7),99))/100))+5.0))))*100))/100))*0.96)),(((((MIN(($B6),99))/100))+5.0)/(1-(((MIN(($B6),99))/100))+5.0))))*100))/100))*0.96)),(((((MIN((B$5),99))/100))+5.0)/(1-(((MIN((B$5),99))/100))+5.0))))*100))/100))*0.96)),(((((MIN(($B$4),99))/100))+5.0)/(1-(((MIN(($B$4),99))/100))+5.0))))*100))/100))*0.96)),(((((MIN(($B3),99))/100))+5.0)/(1-(((MIN(($B3),99))/100))+5.0))))*100),0)</f>
        <v/>
      </c>
      <c r="C1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(90)/100))*0.96)),(((((MIN(($B$19),99))/100))+5.0)/(1-(((MIN(($B$19),99))/100))+5.0))))*100))/100))*0.96)),(((((MIN(($A19),99))/100))+5.0)/(1-(((MIN(($A19),99))/100))+5.0))))*100))/100))*0.96)),(((((MIN((C18),99))/100))+5.0)/(1-(((MIN((C18),99))/100))+5.0))))*100))/100))*0.96)),(((((MIN(($C$17),99))/100))+5.0)/(1-(((MIN(($C$17),99))/100))+5.0))))*100))/100))*0.96)),(((((MIN((C$16),99))/100))+5.0)/(1-(((MIN((C$16),99))/100))+5.0))))*100))/100))*0.96)),(((((MIN(($C$15),99))/100))+5.0)/(1-(((MIN(($C$15),99))/100))+5.0))))*100))/100))*0.96)),(((((MIN((C$14),99))/100))+5.0)/(1-(((MIN((C$14),99))/100))+5.0))))*100))/100))*0.96)),(((((MIN((C13),99))/100))+5.0)/(1-(((MIN((C13),99))/100))+5.0))))*100))/100))*0.96)),(((((MIN((C12),99))/100))+5.0)/(1-(((MIN((C12),99))/100))+5.0))))*100))/100))*0.96)),(((((MIN(($C$11),99))/100))+5.0)/(1-(((MIN(($C$11),99))/100))+5.0))))*100))/100))*0.96)),(((((MIN((C10),99))/100))+5.0)/(1-(((MIN((C10),99))/100))+5.0))))*100))/100))*0.96)),(((((MIN((C9),99))/100))+5.0)/(1-(((MIN((C9),99))/100))+5.0))))*100))/100))*0.96)),(((((MIN((C8),99))/100))+5.0)/(1-(((MIN((C8),99))/100))+5.0))))*100))/100))*0.96)),(((((MIN((C7),99))/100))+5.0)/(1-(((MIN((C7),99))/100))+5.0))))*100))/100))*0.96)),(((((MIN(($C6),99))/100))+5.0)/(1-(((MIN(($C6),99))/100))+5.0))))*100))/100))*0.96)),(((((MIN((C5),99))/100))+5.0)/(1-(((MIN((C5),99))/100))+5.0))))*100))/100))*0.96)),(((((MIN(($C4),99))/100))+5.0)/(1-(((MIN(($C4),99))/100))+5.0))))*100))/100))*0.96)),(((((MIN((C$3),99))/100))+5.0)/(1-(((MIN((C$3),99))/100))+5.0))))*100),0)</f>
        <v/>
      </c>
      <c r="D1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(28)/100))*0.96)),(((((MIN((C19),99))/100))+5.0)/(1-(((MIN((C19),99))/100))+5.0))))*100))/100))*0.96)),(((((MIN(($B19),99))/100))+5.0)/(1-(((MIN(($B19),99))/100))+5.0))))*100))/100))*0.96)),(((((MIN((A19),99))/100))+5.0)/(1-(((MIN((A19),99))/100))+5.0))))*100))/100))*0.96)),(((((MIN(($D$18),99))/100))+5.0)/(1-(((MIN(($D$18),99))/100))+5.0))))*100))/100))*0.96)),(((((MIN(($D$17),99))/100))+5.0)/(1-(((MIN(($D$17),99))/100))+5.0))))*100))/100))*0.96)),(((((MIN(($D16),99))/100))+5.0)/(1-(((MIN(($D16),99))/100))+5.0))))*100))/100))*0.96)),(((((MIN((D15),99))/100))+5.0)/(1-(((MIN((D15),99))/100))+5.0))))*100))/100))*0.96)),(((((MIN((D14),99))/100))+5.0)/(1-(((MIN((D14),99))/100))+5.0))))*100))/100))*0.96)),(((((MIN((D13),99))/100))+5.0)/(1-(((MIN((D13),99))/100))+5.0))))*100))/100))*0.96)),(((((MIN((D$12),99))/100))+5.0)/(1-(((MIN((D$12),99))/100))+5.0))))*100))/100))*0.96)),(((((MIN((D$11),99))/100))+5.0)/(1-(((MIN((D$11),99))/100))+5.0))))*100))/100))*0.96)),(((((MIN((D$10),99))/100))+5.0)/(1-(((MIN((D$10),99))/100))+5.0))))*100))/100))*0.96)),(((((MIN((D$9),99))/100))+5.0)/(1-(((MIN((D$9),99))/100))+5.0))))*100))/100))*0.96)),(((((MIN((D8),99))/100))+5.0)/(1-(((MIN((D8),99))/100))+5.0))))*100))/100))*0.96)),(((((MIN((D$7),99))/100))+5.0)/(1-(((MIN((D$7),99))/100))+5.0))))*100))/100))*0.96)),(((((MIN(($D$6),99))/100))+5.0)/(1-(((MIN(($D$6),99))/100))+5.0))))*100))/100))*0.96)),(((((MIN((D$5),99))/100))+5.0)/(1-(((MIN((D$5),99))/100))+5.0))))*100))/100))*0.96)),(((((MIN((D$4),99))/100))+5.0)/(1-(((MIN((D$4),99))/100))+5.0))))*100))/100))*0.96)),(((((MIN(($D$3),99))/100))+5.0)/(1-(((MIN(($D$3),99))/100))+5.0))))*100),0)</f>
        <v/>
      </c>
      <c r="E1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(51)/100))*0.96)),(((((MIN((D$19),99))/100))+5.0)/(1-(((MIN((D$19),99))/100))+5.0))))*100))/100))*0.96)),(((((MIN(($C19),99))/100))+5.0)/(1-(((MIN(($C19),99))/100))+5.0))))*100))/100))*0.96)),(((((MIN(($B19),99))/100))+5.0)/(1-(((MIN(($B19),99))/100))+5.0))))*100))/100))*0.96)),(((((MIN((A19),99))/100))+5.0)/(1-(((MIN((A19),99))/100))+5.0))))*100))/100))*0.96)),(((((MIN(($E18),99))/100))+5.0)/(1-(((MIN(($E18),99))/100))+5.0))))*100))/100))*0.96)),(((((MIN((E17),99))/100))+5.0)/(1-(((MIN((E17),99))/100))+5.0))))*100))/100))*0.96)),(((((MIN(($E16),99))/100))+5.0)/(1-(((MIN(($E16),99))/100))+5.0))))*100))/100))*0.96)),(((((MIN((E$15),99))/100))+5.0)/(1-(((MIN((E$15),99))/100))+5.0))))*100))/100))*0.96)),(((((MIN(($E$14),99))/100))+5.0)/(1-(((MIN(($E$14),99))/100))+5.0))))*100))/100))*0.96)),(((((MIN(($E$13),99))/100))+5.0)/(1-(((MIN(($E$13),99))/100))+5.0))))*100))/100))*0.96)),(((((MIN((E12),99))/100))+5.0)/(1-(((MIN((E12),99))/100))+5.0))))*100))/100))*0.96)),(((((MIN(($E11),99))/100))+5.0)/(1-(((MIN(($E11),99))/100))+5.0))))*100))/100))*0.96)),(((((MIN(($E10),99))/100))+5.0)/(1-(((MIN(($E10),99))/100))+5.0))))*100))/100))*0.96)),(((((MIN((E9),99))/100))+5.0)/(1-(((MIN((E9),99))/100))+5.0))))*100))/100))*0.96)),(((((MIN(($E8),99))/100))+5.0)/(1-(((MIN(($E8),99))/100))+5.0))))*100))/100))*0.96)),(((((MIN(($E7),99))/100))+5.0)/(1-(((MIN(($E7),99))/100))+5.0))))*100))/100))*0.96)),(((((MIN(($E$6),99))/100))+5.0)/(1-(((MIN(($E$6),99))/100))+5.0))))*100))/100))*0.96)),(((((MIN((E5),99))/100))+5.0)/(1-(((MIN((E5),99))/100))+5.0))))*100))/100))*0.96)),(((((MIN((E$4),99))/100))+5.0)/(1-(((MIN((E$4),99))/100))+5.0))))*100))/100))*0.96)),(((((MIN(($E$3),99))/100))+5.0)/(1-(((MIN(($E$3),99))/100))+5.0))))*100),0)</f>
        <v/>
      </c>
      <c r="F1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(72)/100))*0.96)),(((((MIN(($E19),99))/100))+5.0)/(1-(((MIN(($E19),99))/100))+5.0))))*100))/100))*0.96)),(((((MIN(($D19),99))/100))+5.0)/(1-(((MIN(($D19),99))/100))+5.0))))*100))/100))*0.96)),(((((MIN((C$19),99))/100))+5.0)/(1-(((MIN((C$19),99))/100))+5.0))))*100))/100))*0.96)),(((((MIN(($B19),99))/100))+5.0)/(1-(((MIN(($B19),99))/100))+5.0))))*100))/100))*0.96)),(((((MIN(($A$19),99))/100))+5.0)/(1-(((MIN(($A$19),99))/100))+5.0))))*100))/100))*0.96)),(((((MIN((F$18),99))/100))+5.0)/(1-(((MIN((F$18),99))/100))+5.0))))*100))/100))*0.96)),(((((MIN((F17),99))/100))+5.0)/(1-(((MIN((F17),99))/100))+5.0))))*100))/100))*0.96)),(((((MIN((F$16),99))/100))+5.0)/(1-(((MIN((F$16),99))/100))+5.0))))*100))/100))*0.96)),(((((MIN((F15),99))/100))+5.0)/(1-(((MIN((F15),99))/100))+5.0))))*100))/100))*0.96)),(((((MIN(($F14),99))/100))+5.0)/(1-(((MIN(($F14),99))/100))+5.0))))*100))/100))*0.96)),(((((MIN((F$13),99))/100))+5.0)/(1-(((MIN((F$13),99))/100))+5.0))))*100))/100))*0.96)),(((((MIN((F$12),99))/100))+5.0)/(1-(((MIN((F$12),99))/100))+5.0))))*100))/100))*0.96)),(((((MIN((F11),99))/100))+5.0)/(1-(((MIN((F11),99))/100))+5.0))))*100))/100))*0.96)),(((((MIN(($F$10),99))/100))+5.0)/(1-(((MIN(($F$10),99))/100))+5.0))))*100))/100))*0.96)),(((((MIN(($F9),99))/100))+5.0)/(1-(((MIN(($F9),99))/100))+5.0))))*100))/100))*0.96)),(((((MIN((F$8),99))/100))+5.0)/(1-(((MIN((F$8),99))/100))+5.0))))*100))/100))*0.96)),(((((MIN((F7),99))/100))+5.0)/(1-(((MIN((F7),99))/100))+5.0))))*100))/100))*0.96)),(((((MIN(($F6),99))/100))+5.0)/(1-(((MIN(($F6),99))/100))+5.0))))*100))/100))*0.96)),(((((MIN((F$5),99))/100))+5.0)/(1-(((MIN((F$5),99))/100))+5.0))))*100))/100))*0.96)),(((((MIN((F4),99))/100))+5.0)/(1-(((MIN((F4),99))/100))+5.0))))*100))/100))*0.96)),(((((MIN(($F3),99))/100))+5.0)/(1-(((MIN(($F3),99))/100))+5.0))))*100),0)</f>
        <v/>
      </c>
      <c r="G1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(46)/100))*0.96)),(((((MIN((F$19),99))/100))+5.0)/(1-(((MIN((F$19),99))/100))+5.0))))*100))/100))*0.96)),(((((MIN(($E19),99))/100))+5.0)/(1-(((MIN(($E19),99))/100))+5.0))))*100))/100))*0.96)),(((((MIN(($D$19),99))/100))+5.0)/(1-(((MIN(($D$19),99))/100))+5.0))))*100))/100))*0.96)),(((((MIN(($C19),99))/100))+5.0)/(1-(((MIN(($C19),99))/100))+5.0))))*100))/100))*0.96)),(((((MIN((B$19),99))/100))+5.0)/(1-(((MIN((B$19),99))/100))+5.0))))*100))/100))*0.96)),(((((MIN((A19),99))/100))+5.0)/(1-(((MIN((A19),99))/100))+5.0))))*100))/100))*0.96)),(((((MIN(($G$18),99))/100))+5.0)/(1-(((MIN(($G$18),99))/100))+5.0))))*100))/100))*0.96)),(((((MIN((G17),99))/100))+5.0)/(1-(((MIN((G17),99))/100))+5.0))))*100))/100))*0.96)),(((((MIN(($G16),99))/100))+5.0)/(1-(((MIN(($G16),99))/100))+5.0))))*100))/100))*0.96)),(((((MIN((G$15),99))/100))+5.0)/(1-(((MIN((G$15),99))/100))+5.0))))*100))/100))*0.96)),(((((MIN(($G14),99))/100))+5.0)/(1-(((MIN(($G14),99))/100))+5.0))))*100))/100))*0.96)),(((((MIN((G13),99))/100))+5.0)/(1-(((MIN((G13),99))/100))+5.0))))*100))/100))*0.96)),(((((MIN(($G12),99))/100))+5.0)/(1-(((MIN(($G12),99))/100))+5.0))))*100))/100))*0.96)),(((((MIN(($G11),99))/100))+5.0)/(1-(((MIN(($G11),99))/100))+5.0))))*100))/100))*0.96)),(((((MIN((G$10),99))/100))+5.0)/(1-(((MIN((G$10),99))/100))+5.0))))*100))/100))*0.96)),(((((MIN((G$9),99))/100))+5.0)/(1-(((MIN((G$9),99))/100))+5.0))))*100))/100))*0.96)),(((((MIN(($G8),99))/100))+5.0)/(1-(((MIN(($G8),99))/100))+5.0))))*100))/100))*0.96)),(((((MIN((G7),99))/100))+5.0)/(1-(((MIN((G7),99))/100))+5.0))))*100))/100))*0.96)),(((((MIN((G6),99))/100))+5.0)/(1-(((MIN((G6),99))/100))+5.0))))*100))/100))*0.96)),(((((MIN(($G5),99))/100))+5.0)/(1-(((MIN(($G5),99))/100))+5.0))))*100))/100))*0.96)),(((((MIN(($G4),99))/100))+5.0)/(1-(((MIN(($G4),99))/100))+5.0))))*100))/100))*0.96)),(((((MIN((G3),99))/100))+5.0)/(1-(((MIN((G3),99))/100))+5.0))))*100),0)</f>
        <v/>
      </c>
      <c r="H1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(11)/100))*0.96)),(((((MIN((G19),99))/100))+5.0)/(1-(((MIN((G19),99))/100))+5.0))))*100))/100))*0.96)),(((((MIN(($F19),99))/100))+5.0)/(1-(((MIN(($F19),99))/100))+5.0))))*100))/100))*0.96)),(((((MIN((E19),99))/100))+5.0)/(1-(((MIN((E19),99))/100))+5.0))))*100))/100))*0.96)),(((((MIN(($D19),99))/100))+5.0)/(1-(((MIN(($D19),99))/100))+5.0))))*100))/100))*0.96)),(((((MIN((C$19),99))/100))+5.0)/(1-(((MIN((C$19),99))/100))+5.0))))*100))/100))*0.96)),(((((MIN(($B19),99))/100))+5.0)/(1-(((MIN(($B19),99))/100))+5.0))))*100))/100))*0.96)),(((((MIN(($A19),99))/100))+5.0)/(1-(((MIN(($A19),99))/100))+5.0))))*100))/100))*0.96)),(((((MIN(($H$18),99))/100))+5.0)/(1-(((MIN(($H$18),99))/100))+5.0))))*100))/100))*0.96)),(((((MIN(($H$17),99))/100))+5.0)/(1-(((MIN(($H$17),99))/100))+5.0))))*100))/100))*0.96)),(((((MIN((H$16),99))/100))+5.0)/(1-(((MIN((H$16),99))/100))+5.0))))*100))/100))*0.96)),(((((MIN(($H15),99))/100))+5.0)/(1-(((MIN(($H15),99))/100))+5.0))))*100))/100))*0.96)),(((((MIN((H14),99))/100))+5.0)/(1-(((MIN((H14),99))/100))+5.0))))*100))/100))*0.96)),(((((MIN((H$13),99))/100))+5.0)/(1-(((MIN((H$13),99))/100))+5.0))))*100))/100))*0.96)),(((((MIN(($H12),99))/100))+5.0)/(1-(((MIN(($H12),99))/100))+5.0))))*100))/100))*0.96)),(((((MIN((H11),99))/100))+5.0)/(1-(((MIN((H11),99))/100))+5.0))))*100))/100))*0.96)),(((((MIN((H10),99))/100))+5.0)/(1-(((MIN((H10),99))/100))+5.0))))*100))/100))*0.96)),(((((MIN(($H9),99))/100))+5.0)/(1-(((MIN(($H9),99))/100))+5.0))))*100))/100))*0.96)),(((((MIN(($H8),99))/100))+5.0)/(1-(((MIN(($H8),99))/100))+5.0))))*100))/100))*0.96)),(((((MIN(($H7),99))/100))+5.0)/(1-(((MIN(($H7),99))/100))+5.0))))*100))/100))*0.96)),(((((MIN(($H$6),99))/100))+5.0)/(1-(((MIN(($H$6),99))/100))+5.0))))*100))/100))*0.96)),(((((MIN(($H5),99))/100))+5.0)/(1-(((MIN(($H5),99))/100))+5.0))))*100))/100))*0.96)),(((((MIN(($H$4),99))/100))+5.0)/(1-(((MIN(($H$4),99))/100))+5.0))))*100))/100))*0.96)),(((((MIN(($H$3),99))/100))+5.0)/(1-(((MIN(($H$3),99))/100))+5.0))))*100),0)</f>
        <v/>
      </c>
      <c r="I1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(43)/100))*0.96)),(((((MIN(($H$19),99))/100))+5.0)/(1-(((MIN(($H$19),99))/100))+5.0))))*100))/100))*0.96)),(((((MIN((G$19),99))/100))+5.0)/(1-(((MIN((G$19),99))/100))+5.0))))*100))/100))*0.96)),(((((MIN(($F19),99))/100))+5.0)/(1-(((MIN(($F19),99))/100))+5.0))))*100))/100))*0.96)),(((((MIN((E19),99))/100))+5.0)/(1-(((MIN((E19),99))/100))+5.0))))*100))/100))*0.96)),(((((MIN(($D$19),99))/100))+5.0)/(1-(((MIN(($D$19),99))/100))+5.0))))*100))/100))*0.96)),(((((MIN((C$19),99))/100))+5.0)/(1-(((MIN((C$19),99))/100))+5.0))))*100))/100))*0.96)),(((((MIN((B19),99))/100))+5.0)/(1-(((MIN((B19),99))/100))+5.0))))*100))/100))*0.96)),(((((MIN((A19),99))/100))+5.0)/(1-(((MIN((A19),99))/100))+5.0))))*100))/100))*0.96)),(((((MIN((I$18),99))/100))+5.0)/(1-(((MIN((I$18),99))/100))+5.0))))*100))/100))*0.96)),(((((MIN((I$17),99))/100))+5.0)/(1-(((MIN((I$17),99))/100))+5.0))))*100))/100))*0.96)),(((((MIN((I$16),99))/100))+5.0)/(1-(((MIN((I$16),99))/100))+5.0))))*100))/100))*0.96)),(((((MIN(($I$15),99))/100))+5.0)/(1-(((MIN(($I$15),99))/100))+5.0))))*100))/100))*0.96)),(((((MIN((I14),99))/100))+5.0)/(1-(((MIN((I14),99))/100))+5.0))))*100))/100))*0.96)),(((((MIN((I$13),99))/100))+5.0)/(1-(((MIN((I$13),99))/100))+5.0))))*100))/100))*0.96)),(((((MIN(($I12),99))/100))+5.0)/(1-(((MIN(($I12),99))/100))+5.0))))*100))/100))*0.96)),(((((MIN(($I$11),99))/100))+5.0)/(1-(((MIN(($I$11),99))/100))+5.0))))*100))/100))*0.96)),(((((MIN((I10),99))/100))+5.0)/(1-(((MIN((I10),99))/100))+5.0))))*100))/100))*0.96)),(((((MIN(($I9),99))/100))+5.0)/(1-(((MIN(($I9),99))/100))+5.0))))*100))/100))*0.96)),(((((MIN((I8),99))/100))+5.0)/(1-(((MIN((I8),99))/100))+5.0))))*100))/100))*0.96)),(((((MIN(($I7),99))/100))+5.0)/(1-(((MIN(($I7),99))/100))+5.0))))*100))/100))*0.96)),(((((MIN((I$6),99))/100))+5.0)/(1-(((MIN((I$6),99))/100))+5.0))))*100))/100))*0.96)),(((((MIN(($I$5),99))/100))+5.0)/(1-(((MIN(($I$5),99))/100))+5.0))))*100))/100))*0.96)),(((((MIN(($I$4),99))/100))+5.0)/(1-(((MIN(($I$4),99))/100))+5.0))))*100))/100))*0.96)),(((((MIN((I3),99))/100))+5.0)/(1-(((MIN((I3),99))/100))+5.0))))*100),0)</f>
        <v/>
      </c>
      <c r="J1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(16)/100))*0.96)),(((((MIN(($I$19),99))/100))+5.0)/(1-(((MIN(($I$19),99))/100))+5.0))))*100))/100))*0.96)),(((((MIN(($H19),99))/100))+5.0)/(1-(((MIN(($H19),99))/100))+5.0))))*100))/100))*0.96)),(((((MIN(($G$19),99))/100))+5.0)/(1-(((MIN(($G$19),99))/100))+5.0))))*100))/100))*0.96)),(((((MIN(($F19),99))/100))+5.0)/(1-(((MIN(($F19),99))/100))+5.0))))*100))/100))*0.96)),(((((MIN(($E$19),99))/100))+5.0)/(1-(((MIN(($E$19),99))/100))+5.0))))*100))/100))*0.96)),(((((MIN((D19),99))/100))+5.0)/(1-(((MIN((D19),99))/100))+5.0))))*100))/100))*0.96)),(((((MIN(($C19),99))/100))+5.0)/(1-(((MIN(($C19),99))/100))+5.0))))*100))/100))*0.96)),(((((MIN(($B19),99))/100))+5.0)/(1-(((MIN(($B19),99))/100))+5.0))))*100))/100))*0.96)),(((((MIN((J18),99))/100))+5.0)/(1-(((MIN((J18),99))/100))+5.0))))*100))/100))*0.96)),(((((MIN((J$17),99))/100))+5.0)/(1-(((MIN((J$17),99))/100))+5.0))))*100))/100))*0.96)),(((((MIN((J$16),99))/100))+5.0)/(1-(((MIN((J$16),99))/100))+5.0))))*100))/100))*0.96)),(((((MIN((J15),99))/100))+5.0)/(1-(((MIN((J15),99))/100))+5.0))))*100))/100))*0.96)),(((((MIN((J14),99))/100))+5.0)/(1-(((MIN((J14),99))/100))+5.0))))*100))/100))*0.96)),(((((MIN((J$13),99))/100))+5.0)/(1-(((MIN((J$13),99))/100))+5.0))))*100))/100))*0.96)),(((((MIN((J12),99))/100))+5.0)/(1-(((MIN((J12),99))/100))+5.0))))*100))/100))*0.96)),(((((MIN(($J11),99))/100))+5.0)/(1-(((MIN(($J11),99))/100))+5.0))))*100))/100))*0.96)),(((((MIN(($J$10),99))/100))+5.0)/(1-(((MIN(($J$10),99))/100))+5.0))))*100))/100))*0.96)),(((((MIN(($J$9),99))/100))+5.0)/(1-(((MIN(($J$9),99))/100))+5.0))))*100))/100))*0.96)),(((((MIN(($J8),99))/100))+5.0)/(1-(((MIN(($J8),99))/100))+5.0))))*100))/100))*0.96)),(((((MIN((J$7),99))/100))+5.0)/(1-(((MIN((J$7),99))/100))+5.0))))*100))/100))*0.96)),(((((MIN(($J$6),99))/100))+5.0)/(1-(((MIN(($J$6),99))/100))+5.0))))*100))/100))*0.96)),(((((MIN((J5),99))/100))+5.0)/(1-(((MIN((J5),99))/100))+5.0))))*100))/100))*0.96)),(((((MIN(($J4),99))/100))+5.0)/(1-(((MIN(($J4),99))/100))+5.0))))*100))/100))*0.96)),(((((MIN(($J3),99))/100))+5.0)/(1-(((MIN(($J3),99))/100))+5.0))))*100),0)</f>
        <v/>
      </c>
      <c r="K1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(87)/100))*0.96)),(((((MIN(($J19),99))/100))+5.0)/(1-(((MIN(($J19),99))/100))+5.0))))*100))/100))*0.96)),(((((MIN(($I19),99))/100))+5.0)/(1-(((MIN(($I19),99))/100))+5.0))))*100))/100))*0.96)),(((((MIN(($H$19),99))/100))+5.0)/(1-(((MIN(($H$19),99))/100))+5.0))))*100))/100))*0.96)),(((((MIN((G$19),99))/100))+5.0)/(1-(((MIN((G$19),99))/100))+5.0))))*100))/100))*0.96)),(((((MIN((F$19),99))/100))+5.0)/(1-(((MIN((F$19),99))/100))+5.0))))*100))/100))*0.96)),(((((MIN((E$19),99))/100))+5.0)/(1-(((MIN((E$19),99))/100))+5.0))))*100))/100))*0.96)),(((((MIN(($D$19),99))/100))+5.0)/(1-(((MIN(($D$19),99))/100))+5.0))))*100))/100))*0.96)),(((((MIN(($C$19),99))/100))+5.0)/(1-(((MIN(($C$19),99))/100))+5.0))))*100))/100))*0.96)),(((((MIN((K18),99))/100))+5.0)/(1-(((MIN((K18),99))/100))+5.0))))*100))/100))*0.96)),(((((MIN((K17),99))/100))+5.0)/(1-(((MIN((K17),99))/100))+5.0))))*100))/100))*0.96)),(((((MIN(($K$16),99))/100))+5.0)/(1-(((MIN(($K$16),99))/100))+5.0))))*100))/100))*0.96)),(((((MIN(($K$15),99))/100))+5.0)/(1-(((MIN(($K$15),99))/100))+5.0))))*100))/100))*0.96)),(((((MIN((K14),99))/100))+5.0)/(1-(((MIN((K14),99))/100))+5.0))))*100))/100))*0.96)),(((((MIN((K$13),99))/100))+5.0)/(1-(((MIN((K$13),99))/100))+5.0))))*100))/100))*0.96)),(((((MIN((K$12),99))/100))+5.0)/(1-(((MIN((K$12),99))/100))+5.0))))*100))/100))*0.96)),(((((MIN((K$11),99))/100))+5.0)/(1-(((MIN((K$11),99))/100))+5.0))))*100))/100))*0.96)),(((((MIN((K$10),99))/100))+5.0)/(1-(((MIN((K$10),99))/100))+5.0))))*100))/100))*0.96)),(((((MIN((K$9),99))/100))+5.0)/(1-(((MIN((K$9),99))/100))+5.0))))*100))/100))*0.96)),(((((MIN((K$8),99))/100))+5.0)/(1-(((MIN((K$8),99))/100))+5.0))))*100))/100))*0.96)),(((((MIN(($K$7),99))/100))+5.0)/(1-(((MIN(($K$7),99))/100))+5.0))))*100))/100))*0.96)),(((((MIN(($K6),99))/100))+5.0)/(1-(((MIN(($K6),99))/100))+5.0))))*100))/100))*0.96)),(((((MIN((K5),99))/100))+5.0)/(1-(((MIN((K5),99))/100))+5.0))))*100))/100))*0.96)),(((((MIN(($K$4),99))/100))+5.0)/(1-(((MIN(($K$4),99))/100))+5.0))))*100))/100))*0.96)),(((((MIN((K$3),99))/100))+5.0)/(1-(((MIN((K$3),99))/100))+5.0))))*100),0)</f>
        <v/>
      </c>
      <c r="L1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(51)/100))*0.96)),(((((MIN((K$19),99))/100))+5.0)/(1-(((MIN((K$19),99))/100))+5.0))))*100))/100))*0.96)),(((((MIN(($J$19),99))/100))+5.0)/(1-(((MIN(($J$19),99))/100))+5.0))))*100))/100))*0.96)),(((((MIN((I$19),99))/100))+5.0)/(1-(((MIN((I$19),99))/100))+5.0))))*100))/100))*0.96)),(((((MIN((H$19),99))/100))+5.0)/(1-(((MIN((H$19),99))/100))+5.0))))*100))/100))*0.96)),(((((MIN(($G$19),99))/100))+5.0)/(1-(((MIN(($G$19),99))/100))+5.0))))*100))/100))*0.96)),(((((MIN(($F19),99))/100))+5.0)/(1-(((MIN(($F19),99))/100))+5.0))))*100))/100))*0.96)),(((((MIN((E19),99))/100))+5.0)/(1-(((MIN((E19),99))/100))+5.0))))*100))/100))*0.96)),(((((MIN(($D19),99))/100))+5.0)/(1-(((MIN(($D19),99))/100))+5.0))))*100))/100))*0.96)),(((((MIN(($L$18),99))/100))+5.0)/(1-(((MIN(($L$18),99))/100))+5.0))))*100))/100))*0.96)),(((((MIN(($L$17),99))/100))+5.0)/(1-(((MIN(($L$17),99))/100))+5.0))))*100))/100))*0.96)),(((((MIN((L16),99))/100))+5.0)/(1-(((MIN((L16),99))/100))+5.0))))*100))/100))*0.96)),(((((MIN(($L15),99))/100))+5.0)/(1-(((MIN(($L15),99))/100))+5.0))))*100))/100))*0.96)),(((((MIN((L14),99))/100))+5.0)/(1-(((MIN((L14),99))/100))+5.0))))*100))/100))*0.96)),(((((MIN((L13),99))/100))+5.0)/(1-(((MIN((L13),99))/100))+5.0))))*100))/100))*0.96)),(((((MIN((L$12),99))/100))+5.0)/(1-(((MIN((L$12),99))/100))+5.0))))*100))/100))*0.96)),(((((MIN(($L11),99))/100))+5.0)/(1-(((MIN(($L11),99))/100))+5.0))))*100))/100))*0.96)),(((((MIN((L$10),99))/100))+5.0)/(1-(((MIN((L$10),99))/100))+5.0))))*100))/100))*0.96)),(((((MIN((L$9),99))/100))+5.0)/(1-(((MIN((L$9),99))/100))+5.0))))*100))/100))*0.96)),(((((MIN((L$8),99))/100))+5.0)/(1-(((MIN((L$8),99))/100))+5.0))))*100))/100))*0.96)),(((((MIN((L7),99))/100))+5.0)/(1-(((MIN((L7),99))/100))+5.0))))*100))/100))*0.96)),(((((MIN(($L6),99))/100))+5.0)/(1-(((MIN(($L6),99))/100))+5.0))))*100))/100))*0.96)),(((((MIN(($L$5),99))/100))+5.0)/(1-(((MIN(($L$5),99))/100))+5.0))))*100))/100))*0.96)),(((((MIN(($L$4),99))/100))+5.0)/(1-(((MIN(($L$4),99))/100))+5.0))))*100))/100))*0.96)),(((((MIN((L3),99))/100))+5.0)/(1-(((MIN((L3),99))/100))+5.0))))*100),0)</f>
        <v/>
      </c>
      <c r="M1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(35)/100))*0.96)),(((((MIN(($L19),99))/100))+5.0)/(1-(((MIN(($L19),99))/100))+5.0))))*100))/100))*0.96)),(((((MIN((K19),99))/100))+5.0)/(1-(((MIN((K19),99))/100))+5.0))))*100))/100))*0.96)),(((((MIN(($J19),99))/100))+5.0)/(1-(((MIN(($J19),99))/100))+5.0))))*100))/100))*0.96)),(((((MIN((I19),99))/100))+5.0)/(1-(((MIN((I19),99))/100))+5.0))))*100))/100))*0.96)),(((((MIN((H$19),99))/100))+5.0)/(1-(((MIN((H$19),99))/100))+5.0))))*100))/100))*0.96)),(((((MIN(($G19),99))/100))+5.0)/(1-(((MIN(($G19),99))/100))+5.0))))*100))/100))*0.96)),(((((MIN(($F$19),99))/100))+5.0)/(1-(((MIN(($F$19),99))/100))+5.0))))*100))/100))*0.96)),(((((MIN((E19),99))/100))+5.0)/(1-(((MIN((E19),99))/100))+5.0))))*100))/100))*0.96)),(((((MIN(($M18),99))/100))+5.0)/(1-(((MIN(($M18),99))/100))+5.0))))*100))/100))*0.96)),(((((MIN(($M17),99))/100))+5.0)/(1-(((MIN(($M17),99))/100))+5.0))))*100))/100))*0.96)),(((((MIN((M16),99))/100))+5.0)/(1-(((MIN((M16),99))/100))+5.0))))*100))/100))*0.96)),(((((MIN(($M$15),99))/100))+5.0)/(1-(((MIN(($M$15),99))/100))+5.0))))*100))/100))*0.96)),(((((MIN((M$14),99))/100))+5.0)/(1-(((MIN((M$14),99))/100))+5.0))))*100))/100))*0.96)),(((((MIN(($M$13),99))/100))+5.0)/(1-(((MIN(($M$13),99))/100))+5.0))))*100))/100))*0.96)),(((((MIN((M$12),99))/100))+5.0)/(1-(((MIN((M$12),99))/100))+5.0))))*100))/100))*0.96)),(((((MIN(($M11),99))/100))+5.0)/(1-(((MIN(($M11),99))/100))+5.0))))*100))/100))*0.96)),(((((MIN((M10),99))/100))+5.0)/(1-(((MIN((M10),99))/100))+5.0))))*100))/100))*0.96)),(((((MIN((M$9),99))/100))+5.0)/(1-(((MIN((M$9),99))/100))+5.0))))*100))/100))*0.96)),(((((MIN((M8),99))/100))+5.0)/(1-(((MIN((M8),99))/100))+5.0))))*100))/100))*0.96)),(((((MIN((M$7),99))/100))+5.0)/(1-(((MIN((M$7),99))/100))+5.0))))*100))/100))*0.96)),(((((MIN((M$6),99))/100))+5.0)/(1-(((MIN((M$6),99))/100))+5.0))))*100))/100))*0.96)),(((((MIN((M5),99))/100))+5.0)/(1-(((MIN((M5),99))/100))+5.0))))*100))/100))*0.96)),(((((MIN(($M4),99))/100))+5.0)/(1-(((MIN(($M4),99))/100))+5.0))))*100))/100))*0.96)),(((((MIN(($M$3),99))/100))+5.0)/(1-(((MIN(($M$3),99))/100))+5.0))))*100),0)</f>
        <v/>
      </c>
      <c r="N1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(81)/100))*0.96)),(((((MIN((M19),99))/100))+5.0)/(1-(((MIN((M19),99))/100))+5.0))))*100))/100))*0.96)),(((((MIN((L19),99))/100))+5.0)/(1-(((MIN((L19),99))/100))+5.0))))*100))/100))*0.96)),(((((MIN((K$19),99))/100))+5.0)/(1-(((MIN((K$19),99))/100))+5.0))))*100))/100))*0.96)),(((((MIN(($J$19),99))/100))+5.0)/(1-(((MIN(($J$19),99))/100))+5.0))))*100))/100))*0.96)),(((((MIN(($I$19),99))/100))+5.0)/(1-(((MIN(($I$19),99))/100))+5.0))))*100))/100))*0.96)),(((((MIN((H$19),99))/100))+5.0)/(1-(((MIN((H$19),99))/100))+5.0))))*100))/100))*0.96)),(((((MIN(($G$19),99))/100))+5.0)/(1-(((MIN(($G$19),99))/100))+5.0))))*100))/100))*0.96)),(((((MIN(($F$19),99))/100))+5.0)/(1-(((MIN(($F$19),99))/100))+5.0))))*100))/100))*0.96)),(((((MIN(($N18),99))/100))+5.0)/(1-(((MIN(($N18),99))/100))+5.0))))*100))/100))*0.96)),(((((MIN(($N17),99))/100))+5.0)/(1-(((MIN(($N17),99))/100))+5.0))))*100))/100))*0.96)),(((((MIN((N16),99))/100))+5.0)/(1-(((MIN((N16),99))/100))+5.0))))*100))/100))*0.96)),(((((MIN(($N15),99))/100))+5.0)/(1-(((MIN(($N15),99))/100))+5.0))))*100))/100))*0.96)),(((((MIN((N$14),99))/100))+5.0)/(1-(((MIN((N$14),99))/100))+5.0))))*100))/100))*0.96)),(((((MIN(($N13),99))/100))+5.0)/(1-(((MIN(($N13),99))/100))+5.0))))*100))/100))*0.96)),(((((MIN(($N12),99))/100))+5.0)/(1-(((MIN(($N12),99))/100))+5.0))))*100))/100))*0.96)),(((((MIN(($N$11),99))/100))+5.0)/(1-(((MIN(($N$11),99))/100))+5.0))))*100))/100))*0.96)),(((((MIN(($N10),99))/100))+5.0)/(1-(((MIN(($N10),99))/100))+5.0))))*100))/100))*0.96)),(((((MIN((N9),99))/100))+5.0)/(1-(((MIN((N9),99))/100))+5.0))))*100))/100))*0.96)),(((((MIN((N$8),99))/100))+5.0)/(1-(((MIN((N$8),99))/100))+5.0))))*100))/100))*0.96)),(((((MIN((N7),99))/100))+5.0)/(1-(((MIN((N7),99))/100))+5.0))))*100))/100))*0.96)),(((((MIN(($N$6),99))/100))+5.0)/(1-(((MIN(($N$6),99))/100))+5.0))))*100))/100))*0.96)),(((((MIN(($N5),99))/100))+5.0)/(1-(((MIN(($N5),99))/100))+5.0))))*100))/100))*0.96)),(((((MIN(($N4),99))/100))+5.0)/(1-(((MIN(($N4),99))/100))+5.0))))*100))/100))*0.96)),(((((MIN(($N$3),99))/100))+5.0)/(1-(((MIN(($N$3),99))/100))+5.0))))*100),0)</f>
        <v/>
      </c>
      <c r="O1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(43)/100))*0.96)),(((((MIN(($N$19),99))/100))+5.0)/(1-(((MIN(($N$19),99))/100))+5.0))))*100))/100))*0.96)),(((((MIN((M$19),99))/100))+5.0)/(1-(((MIN((M$19),99))/100))+5.0))))*100))/100))*0.96)),(((((MIN((L$19),99))/100))+5.0)/(1-(((MIN((L$19),99))/100))+5.0))))*100))/100))*0.96)),(((((MIN(($K$19),99))/100))+5.0)/(1-(((MIN(($K$19),99))/100))+5.0))))*100))/100))*0.96)),(((((MIN((J19),99))/100))+5.0)/(1-(((MIN((J19),99))/100))+5.0))))*100))/100))*0.96)),(((((MIN(($I$19),99))/100))+5.0)/(1-(((MIN(($I$19),99))/100))+5.0))))*100))/100))*0.96)),(((((MIN(($H$19),99))/100))+5.0)/(1-(((MIN(($H$19),99))/100))+5.0))))*100))/100))*0.96)),(((((MIN((G19),99))/100))+5.0)/(1-(((MIN((G19),99))/100))+5.0))))*100))/100))*0.96)),(((((MIN(($O$18),99))/100))+5.0)/(1-(((MIN(($O$18),99))/100))+5.0))))*100))/100))*0.96)),(((((MIN(($O17),99))/100))+5.0)/(1-(((MIN(($O17),99))/100))+5.0))))*100))/100))*0.96)),(((((MIN((O$16),99))/100))+5.0)/(1-(((MIN((O$16),99))/100))+5.0))))*100))/100))*0.96)),(((((MIN((O$15),99))/100))+5.0)/(1-(((MIN((O$15),99))/100))+5.0))))*100))/100))*0.96)),(((((MIN(($O$14),99))/100))+5.0)/(1-(((MIN(($O$14),99))/100))+5.0))))*100))/100))*0.96)),(((((MIN(($O$13),99))/100))+5.0)/(1-(((MIN(($O$13),99))/100))+5.0))))*100))/100))*0.96)),(((((MIN((O$12),99))/100))+5.0)/(1-(((MIN((O$12),99))/100))+5.0))))*100))/100))*0.96)),(((((MIN((O11),99))/100))+5.0)/(1-(((MIN((O11),99))/100))+5.0))))*100))/100))*0.96)),(((((MIN(($O$10),99))/100))+5.0)/(1-(((MIN(($O$10),99))/100))+5.0))))*100))/100))*0.96)),(((((MIN(($O9),99))/100))+5.0)/(1-(((MIN(($O9),99))/100))+5.0))))*100))/100))*0.96)),(((((MIN(($O$8),99))/100))+5.0)/(1-(((MIN(($O$8),99))/100))+5.0))))*100))/100))*0.96)),(((((MIN((O7),99))/100))+5.0)/(1-(((MIN((O7),99))/100))+5.0))))*100))/100))*0.96)),(((((MIN(($O6),99))/100))+5.0)/(1-(((MIN(($O6),99))/100))+5.0))))*100))/100))*0.96)),(((((MIN((O$5),99))/100))+5.0)/(1-(((MIN((O$5),99))/100))+5.0))))*100))/100))*0.96)),(((((MIN(($O$4),99))/100))+5.0)/(1-(((MIN(($O$4),99))/100))+5.0))))*100))/100))*0.96)),(((((MIN(($O3),99))/100))+5.0)/(1-(((MIN(($O3),99))/100))+5.0))))*100),0)</f>
        <v/>
      </c>
      <c r="P1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(27)/100))*0.96)),(((((MIN(($O$19),99))/100))+5.0)/(1-(((MIN(($O$19),99))/100))+5.0))))*100))/100))*0.96)),(((((MIN(($N19),99))/100))+5.0)/(1-(((MIN(($N19),99))/100))+5.0))))*100))/100))*0.96)),(((((MIN(($M19),99))/100))+5.0)/(1-(((MIN(($M19),99))/100))+5.0))))*100))/100))*0.96)),(((((MIN(($L19),99))/100))+5.0)/(1-(((MIN(($L19),99))/100))+5.0))))*100))/100))*0.96)),(((((MIN((K19),99))/100))+5.0)/(1-(((MIN((K19),99))/100))+5.0))))*100))/100))*0.96)),(((((MIN(($J$19),99))/100))+5.0)/(1-(((MIN(($J$19),99))/100))+5.0))))*100))/100))*0.96)),(((((MIN(($I$19),99))/100))+5.0)/(1-(((MIN(($I$19),99))/100))+5.0))))*100))/100))*0.96)),(((((MIN((H$19),99))/100))+5.0)/(1-(((MIN((H$19),99))/100))+5.0))))*100))/100))*0.96)),(((((MIN(($P$18),99))/100))+5.0)/(1-(((MIN(($P$18),99))/100))+5.0))))*100))/100))*0.96)),(((((MIN(($P$17),99))/100))+5.0)/(1-(((MIN(($P$17),99))/100))+5.0))))*100))/100))*0.96)),(((((MIN((P16),99))/100))+5.0)/(1-(((MIN((P16),99))/100))+5.0))))*100))/100))*0.96)),(((((MIN((P$15),99))/100))+5.0)/(1-(((MIN((P$15),99))/100))+5.0))))*100))/100))*0.96)),(((((MIN((P$14),99))/100))+5.0)/(1-(((MIN((P$14),99))/100))+5.0))))*100))/100))*0.96)),(((((MIN((P13),99))/100))+5.0)/(1-(((MIN((P13),99))/100))+5.0))))*100))/100))*0.96)),(((((MIN(($P$12),99))/100))+5.0)/(1-(((MIN(($P$12),99))/100))+5.0))))*100))/100))*0.96)),(((((MIN((P11),99))/100))+5.0)/(1-(((MIN((P11),99))/100))+5.0))))*100))/100))*0.96)),(((((MIN((P$10),99))/100))+5.0)/(1-(((MIN((P$10),99))/100))+5.0))))*100))/100))*0.96)),(((((MIN(($P9),99))/100))+5.0)/(1-(((MIN(($P9),99))/100))+5.0))))*100))/100))*0.96)),(((((MIN(($P$8),99))/100))+5.0)/(1-(((MIN(($P$8),99))/100))+5.0))))*100))/100))*0.96)),(((((MIN((P7),99))/100))+5.0)/(1-(((MIN((P7),99))/100))+5.0))))*100))/100))*0.96)),(((((MIN((P$6),99))/100))+5.0)/(1-(((MIN((P$6),99))/100))+5.0))))*100))/100))*0.96)),(((((MIN((P$5),99))/100))+5.0)/(1-(((MIN((P$5),99))/100))+5.0))))*100))/100))*0.96)),(((((MIN(($P4),99))/100))+5.0)/(1-(((MIN(($P4),99))/100))+5.0))))*100))/100))*0.96)),(((((MIN((P$3),99))/100))+5.0)/(1-(((MIN((P$3),99))/100))+5.0))))*100),0)</f>
        <v/>
      </c>
      <c r="Q1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(91)/100))*0.96)),(((((MIN(($P19),99))/100))+5.0)/(1-(((MIN(($P19),99))/100))+5.0))))*100))/100))*0.96)),(((((MIN((O19),99))/100))+5.0)/(1-(((MIN((O19),99))/100))+5.0))))*100))/100))*0.96)),(((((MIN((N19),99))/100))+5.0)/(1-(((MIN((N19),99))/100))+5.0))))*100))/100))*0.96)),(((((MIN((M$19),99))/100))+5.0)/(1-(((MIN((M$19),99))/100))+5.0))))*100))/100))*0.96)),(((((MIN((L19),99))/100))+5.0)/(1-(((MIN((L19),99))/100))+5.0))))*100))/100))*0.96)),(((((MIN(($K19),99))/100))+5.0)/(1-(((MIN(($K19),99))/100))+5.0))))*100))/100))*0.96)),(((((MIN(($J$19),99))/100))+5.0)/(1-(((MIN(($J$19),99))/100))+5.0))))*100))/100))*0.96)),(((((MIN(($I$19),99))/100))+5.0)/(1-(((MIN(($I$19),99))/100))+5.0))))*100))/100))*0.96)),(((((MIN((Q$18),99))/100))+5.0)/(1-(((MIN((Q$18),99))/100))+5.0))))*100))/100))*0.96)),(((((MIN(($Q17),99))/100))+5.0)/(1-(((MIN(($Q17),99))/100))+5.0))))*100))/100))*0.96)),(((((MIN(($Q$16),99))/100))+5.0)/(1-(((MIN(($Q$16),99))/100))+5.0))))*100))/100))*0.96)),(((((MIN(($Q$15),99))/100))+5.0)/(1-(((MIN(($Q$15),99))/100))+5.0))))*100))/100))*0.96)),(((((MIN(($Q$14),99))/100))+5.0)/(1-(((MIN(($Q$14),99))/100))+5.0))))*100))/100))*0.96)),(((((MIN((Q13),99))/100))+5.0)/(1-(((MIN((Q13),99))/100))+5.0))))*100))/100))*0.96)),(((((MIN((Q12),99))/100))+5.0)/(1-(((MIN((Q12),99))/100))+5.0))))*100))/100))*0.96)),(((((MIN((Q$11),99))/100))+5.0)/(1-(((MIN((Q$11),99))/100))+5.0))))*100))/100))*0.96)),(((((MIN((Q10),99))/100))+5.0)/(1-(((MIN((Q10),99))/100))+5.0))))*100))/100))*0.96)),(((((MIN(($Q$9),99))/100))+5.0)/(1-(((MIN(($Q$9),99))/100))+5.0))))*100))/100))*0.96)),(((((MIN(($Q8),99))/100))+5.0)/(1-(((MIN(($Q8),99))/100))+5.0))))*100))/100))*0.96)),(((((MIN((Q7),99))/100))+5.0)/(1-(((MIN((Q7),99))/100))+5.0))))*100))/100))*0.96)),(((((MIN(($Q$6),99))/100))+5.0)/(1-(((MIN(($Q$6),99))/100))+5.0))))*100))/100))*0.96)),(((((MIN((Q5),99))/100))+5.0)/(1-(((MIN((Q5),99))/100))+5.0))))*100))/100))*0.96)),(((((MIN(($Q4),99))/100))+5.0)/(1-(((MIN(($Q4),99))/100))+5.0))))*100))/100))*0.96)),(((((MIN(($Q$3),99))/100))+5.0)/(1-(((MIN(($Q$3),99))/100))+5.0))))*100),0)</f>
        <v/>
      </c>
      <c r="R1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(90)/100))*0.96)),(((((MIN((Q$19),99))/100))+5.0)/(1-(((MIN((Q$19),99))/100))+5.0))))*100))/100))*0.96)),(((((MIN((P19),99))/100))+5.0)/(1-(((MIN((P19),99))/100))+5.0))))*100))/100))*0.96)),(((((MIN((O$19),99))/100))+5.0)/(1-(((MIN((O$19),99))/100))+5.0))))*100))/100))*0.96)),(((((MIN(($N19),99))/100))+5.0)/(1-(((MIN(($N19),99))/100))+5.0))))*100))/100))*0.96)),(((((MIN(($M$19),99))/100))+5.0)/(1-(((MIN(($M$19),99))/100))+5.0))))*100))/100))*0.96)),(((((MIN((L19),99))/100))+5.0)/(1-(((MIN((L19),99))/100))+5.0))))*100))/100))*0.96)),(((((MIN((K$19),99))/100))+5.0)/(1-(((MIN((K$19),99))/100))+5.0))))*100))/100))*0.96)),(((((MIN((J$19),99))/100))+5.0)/(1-(((MIN((J$19),99))/100))+5.0))))*100))/100))*0.96)),(((((MIN((R$18),99))/100))+5.0)/(1-(((MIN((R$18),99))/100))+5.0))))*100))/100))*0.96)),(((((MIN(($R17),99))/100))+5.0)/(1-(((MIN(($R17),99))/100))+5.0))))*100))/100))*0.96)),(((((MIN(($R16),99))/100))+5.0)/(1-(((MIN(($R16),99))/100))+5.0))))*100))/100))*0.96)),(((((MIN(($R15),99))/100))+5.0)/(1-(((MIN(($R15),99))/100))+5.0))))*100))/100))*0.96)),(((((MIN(($R$14),99))/100))+5.0)/(1-(((MIN(($R$14),99))/100))+5.0))))*100))/100))*0.96)),(((((MIN(($R$13),99))/100))+5.0)/(1-(((MIN(($R$13),99))/100))+5.0))))*100))/100))*0.96)),(((((MIN((R12),99))/100))+5.0)/(1-(((MIN((R12),99))/100))+5.0))))*100))/100))*0.96)),(((((MIN((R$11),99))/100))+5.0)/(1-(((MIN((R$11),99))/100))+5.0))))*100))/100))*0.96)),(((((MIN((R10),99))/100))+5.0)/(1-(((MIN((R10),99))/100))+5.0))))*100))/100))*0.96)),(((((MIN(($R9),99))/100))+5.0)/(1-(((MIN(($R9),99))/100))+5.0))))*100))/100))*0.96)),(((((MIN((R8),99))/100))+5.0)/(1-(((MIN((R8),99))/100))+5.0))))*100))/100))*0.96)),(((((MIN(($R$7),99))/100))+5.0)/(1-(((MIN(($R$7),99))/100))+5.0))))*100))/100))*0.96)),(((((MIN((R$6),99))/100))+5.0)/(1-(((MIN((R$6),99))/100))+5.0))))*100))/100))*0.96)),(((((MIN(($R$5),99))/100))+5.0)/(1-(((MIN(($R$5),99))/100))+5.0))))*100))/100))*0.96)),(((((MIN((R4),99))/100))+5.0)/(1-(((MIN((R4),99))/100))+5.0))))*100))/100))*0.96)),(((((MIN(($R3),99))/100))+5.0)/(1-(((MIN(($R3),99))/100))+5.0))))*100),0)</f>
        <v/>
      </c>
      <c r="S1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(93)/100))*0.96)),(((((MIN(($R$19),99))/100))+5.0)/(1-(((MIN(($R$19),99))/100))+5.0))))*100))/100))*0.96)),(((((MIN(($Q19),99))/100))+5.0)/(1-(((MIN(($Q19),99))/100))+5.0))))*100))/100))*0.96)),(((((MIN(($P$19),99))/100))+5.0)/(1-(((MIN(($P$19),99))/100))+5.0))))*100))/100))*0.96)),(((((MIN(($O19),99))/100))+5.0)/(1-(((MIN(($O19),99))/100))+5.0))))*100))/100))*0.96)),(((((MIN((N$19),99))/100))+5.0)/(1-(((MIN((N$19),99))/100))+5.0))))*100))/100))*0.96)),(((((MIN((M$19),99))/100))+5.0)/(1-(((MIN((M$19),99))/100))+5.0))))*100))/100))*0.96)),(((((MIN(($L$19),99))/100))+5.0)/(1-(((MIN(($L$19),99))/100))+5.0))))*100))/100))*0.96)),(((((MIN(($K$19),99))/100))+5.0)/(1-(((MIN(($K$19),99))/100))+5.0))))*100))/100))*0.96)),(((((MIN(($S18),99))/100))+5.0)/(1-(((MIN(($S18),99))/100))+5.0))))*100))/100))*0.96)),(((((MIN((S$17),99))/100))+5.0)/(1-(((MIN((S$17),99))/100))+5.0))))*100))/100))*0.96)),(((((MIN((S$16),99))/100))+5.0)/(1-(((MIN((S$16),99))/100))+5.0))))*100))/100))*0.96)),(((((MIN(($S$15),99))/100))+5.0)/(1-(((MIN(($S$15),99))/100))+5.0))))*100))/100))*0.96)),(((((MIN((S14),99))/100))+5.0)/(1-(((MIN((S14),99))/100))+5.0))))*100))/100))*0.96)),(((((MIN((S$13),99))/100))+5.0)/(1-(((MIN((S$13),99))/100))+5.0))))*100))/100))*0.96)),(((((MIN(($S$12),99))/100))+5.0)/(1-(((MIN(($S$12),99))/100))+5.0))))*100))/100))*0.96)),(((((MIN(($S$11),99))/100))+5.0)/(1-(((MIN(($S$11),99))/100))+5.0))))*100))/100))*0.96)),(((((MIN((S10),99))/100))+5.0)/(1-(((MIN((S10),99))/100))+5.0))))*100))/100))*0.96)),(((((MIN(($S$9),99))/100))+5.0)/(1-(((MIN(($S$9),99))/100))+5.0))))*100))/100))*0.96)),(((((MIN(($S8),99))/100))+5.0)/(1-(((MIN(($S8),99))/100))+5.0))))*100))/100))*0.96)),(((((MIN((S$7),99))/100))+5.0)/(1-(((MIN((S$7),99))/100))+5.0))))*100))/100))*0.96)),(((((MIN((S$6),99))/100))+5.0)/(1-(((MIN((S$6),99))/100))+5.0))))*100))/100))*0.96)),(((((MIN(($S5),99))/100))+5.0)/(1-(((MIN(($S5),99))/100))+5.0))))*100))/100))*0.96)),(((((MIN((S$4),99))/100))+5.0)/(1-(((MIN((S$4),99))/100))+5.0))))*100))/100))*0.96)),(((((MIN(($S$3),99))/100))+5.0)/(1-(((MIN(($S$3),99))/100))+5.0))))*100),0)</f>
        <v/>
      </c>
      <c r="T1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(32)/100))*0.96)),(((((MIN((S19),99))/100))+5.0)/(1-(((MIN((S19),99))/100))+5.0))))*100))/100))*0.96)),(((((MIN(($R$19),99))/100))+5.0)/(1-(((MIN(($R$19),99))/100))+5.0))))*100))/100))*0.96)),(((((MIN((Q19),99))/100))+5.0)/(1-(((MIN((Q19),99))/100))+5.0))))*100))/100))*0.96)),(((((MIN((P$19),99))/100))+5.0)/(1-(((MIN((P$19),99))/100))+5.0))))*100))/100))*0.96)),(((((MIN(($O$19),99))/100))+5.0)/(1-(((MIN(($O$19),99))/100))+5.0))))*100))/100))*0.96)),(((((MIN((N$19),99))/100))+5.0)/(1-(((MIN((N$19),99))/100))+5.0))))*100))/100))*0.96)),(((((MIN((M$19),99))/100))+5.0)/(1-(((MIN((M$19),99))/100))+5.0))))*100))/100))*0.96)),(((((MIN(($L$19),99))/100))+5.0)/(1-(((MIN(($L$19),99))/100))+5.0))))*100))/100))*0.96)),(((((MIN(($T$18),99))/100))+5.0)/(1-(((MIN(($T$18),99))/100))+5.0))))*100))/100))*0.96)),(((((MIN(($T$17),99))/100))+5.0)/(1-(((MIN(($T$17),99))/100))+5.0))))*100))/100))*0.96)),(((((MIN(($T16),99))/100))+5.0)/(1-(((MIN(($T16),99))/100))+5.0))))*100))/100))*0.96)),(((((MIN((T15),99))/100))+5.0)/(1-(((MIN((T15),99))/100))+5.0))))*100))/100))*0.96)),(((((MIN(($T14),99))/100))+5.0)/(1-(((MIN(($T14),99))/100))+5.0))))*100))/100))*0.96)),(((((MIN((T13),99))/100))+5.0)/(1-(((MIN((T13),99))/100))+5.0))))*100))/100))*0.96)),(((((MIN(($T$12),99))/100))+5.0)/(1-(((MIN(($T$12),99))/100))+5.0))))*100))/100))*0.96)),(((((MIN(($T11),99))/100))+5.0)/(1-(((MIN(($T11),99))/100))+5.0))))*100))/100))*0.96)),(((((MIN((T$10),99))/100))+5.0)/(1-(((MIN((T$10),99))/100))+5.0))))*100))/100))*0.96)),(((((MIN((T$9),99))/100))+5.0)/(1-(((MIN((T$9),99))/100))+5.0))))*100))/100))*0.96)),(((((MIN(($T8),99))/100))+5.0)/(1-(((MIN(($T8),99))/100))+5.0))))*100))/100))*0.96)),(((((MIN(($T$7),99))/100))+5.0)/(1-(((MIN(($T$7),99))/100))+5.0))))*100))/100))*0.96)),(((((MIN(($T$6),99))/100))+5.0)/(1-(((MIN(($T$6),99))/100))+5.0))))*100))/100))*0.96)),(((((MIN(($T5),99))/100))+5.0)/(1-(((MIN(($T5),99))/100))+5.0))))*100))/100))*0.96)),(((((MIN(($T4),99))/100))+5.0)/(1-(((MIN(($T4),99))/100))+5.0))))*100))/100))*0.96)),(((((MIN((T3),99))/100))+5.0)/(1-(((MIN((T3),99))/100))+5.0))))*100),0)</f>
        <v/>
      </c>
    </row>
    <row r="20">
      <c r="A2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(42)/100))*0.96)),(((((MIN(($A19),99))/100))+5.0)/(1-(((MIN(($A19),99))/100))+5.0))))*100))/100))*0.96)),(((((MIN((A18),99))/100))+5.0)/(1-(((MIN((A18),99))/100))+5.0))))*100))/100))*0.96)),(((((MIN((A17),99))/100))+5.0)/(1-(((MIN((A17),99))/100))+5.0))))*100))/100))*0.96)),(((((MIN(($A$16),99))/100))+5.0)/(1-(((MIN(($A$16),99))/100))+5.0))))*100))/100))*0.96)),(((((MIN((A15),99))/100))+5.0)/(1-(((MIN((A15),99))/100))+5.0))))*100))/100))*0.96)),(((((MIN((A$14),99))/100))+5.0)/(1-(((MIN((A$14),99))/100))+5.0))))*100))/100))*0.96)),(((((MIN(($A$13),99))/100))+5.0)/(1-(((MIN(($A$13),99))/100))+5.0))))*100))/100))*0.96)),(((((MIN((A12),99))/100))+5.0)/(1-(((MIN((A12),99))/100))+5.0))))*100))/100))*0.96)),(((((MIN(($A$11),99))/100))+5.0)/(1-(((MIN(($A$11),99))/100))+5.0))))*100))/100))*0.96)),(((((MIN(($A10),99))/100))+5.0)/(1-(((MIN(($A10),99))/100))+5.0))))*100))/100))*0.96)),(((((MIN((A9),99))/100))+5.0)/(1-(((MIN((A9),99))/100))+5.0))))*100))/100))*0.96)),(((((MIN((A$8),99))/100))+5.0)/(1-(((MIN((A$8),99))/100))+5.0))))*100))/100))*0.96)),(((((MIN(($A$7),99))/100))+5.0)/(1-(((MIN(($A$7),99))/100))+5.0))))*100))/100))*0.96)),(((((MIN(($A6),99))/100))+5.0)/(1-(((MIN(($A6),99))/100))+5.0))))*100))/100))*0.96)),(((((MIN(($A$5),99))/100))+5.0)/(1-(((MIN(($A$5),99))/100))+5.0))))*100))/100))*0.96)),(((((MIN((A4),99))/100))+5.0)/(1-(((MIN((A4),99))/100))+5.0))))*100),0)</f>
        <v/>
      </c>
      <c r="B2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(25)/100))*0.96)),(((((MIN(($A20),99))/100))+5.0)/(1-(((MIN(($A20),99))/100))+5.0))))*100))/100))*0.96)),(((((MIN(($B$19),99))/100))+5.0)/(1-(((MIN(($B$19),99))/100))+5.0))))*100))/100))*0.96)),(((((MIN(($B$18),99))/100))+5.0)/(1-(((MIN(($B$18),99))/100))+5.0))))*100))/100))*0.96)),(((((MIN(($B$17),99))/100))+5.0)/(1-(((MIN(($B$17),99))/100))+5.0))))*100))/100))*0.96)),(((((MIN((B$16),99))/100))+5.0)/(1-(((MIN((B$16),99))/100))+5.0))))*100))/100))*0.96)),(((((MIN(($B15),99))/100))+5.0)/(1-(((MIN(($B15),99))/100))+5.0))))*100))/100))*0.96)),(((((MIN((B$14),99))/100))+5.0)/(1-(((MIN((B$14),99))/100))+5.0))))*100))/100))*0.96)),(((((MIN(($B$13),99))/100))+5.0)/(1-(((MIN(($B$13),99))/100))+5.0))))*100))/100))*0.96)),(((((MIN(($B$12),99))/100))+5.0)/(1-(((MIN(($B$12),99))/100))+5.0))))*100))/100))*0.96)),(((((MIN((B$11),99))/100))+5.0)/(1-(((MIN((B$11),99))/100))+5.0))))*100))/100))*0.96)),(((((MIN(($B10),99))/100))+5.0)/(1-(((MIN(($B10),99))/100))+5.0))))*100))/100))*0.96)),(((((MIN((B9),99))/100))+5.0)/(1-(((MIN((B9),99))/100))+5.0))))*100))/100))*0.96)),(((((MIN((B$8),99))/100))+5.0)/(1-(((MIN((B$8),99))/100))+5.0))))*100))/100))*0.96)),(((((MIN(($B$7),99))/100))+5.0)/(1-(((MIN(($B$7),99))/100))+5.0))))*100))/100))*0.96)),(((((MIN((B6),99))/100))+5.0)/(1-(((MIN((B6),99))/100))+5.0))))*100))/100))*0.96)),(((((MIN((B5),99))/100))+5.0)/(1-(((MIN((B5),99))/100))+5.0))))*100))/100))*0.96)),(((((MIN((B$4),99))/100))+5.0)/(1-(((MIN((B$4),99))/100))+5.0))))*100),0)</f>
        <v/>
      </c>
      <c r="C2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(75)/100))*0.96)),(((((MIN(($B$20),99))/100))+5.0)/(1-(((MIN(($B$20),99))/100))+5.0))))*100))/100))*0.96)),(((((MIN(($A$20),99))/100))+5.0)/(1-(((MIN(($A$20),99))/100))+5.0))))*100))/100))*0.96)),(((((MIN(($C19),99))/100))+5.0)/(1-(((MIN(($C19),99))/100))+5.0))))*100))/100))*0.96)),(((((MIN(($C18),99))/100))+5.0)/(1-(((MIN(($C18),99))/100))+5.0))))*100))/100))*0.96)),(((((MIN((C17),99))/100))+5.0)/(1-(((MIN((C17),99))/100))+5.0))))*100))/100))*0.96)),(((((MIN((C$16),99))/100))+5.0)/(1-(((MIN((C$16),99))/100))+5.0))))*100))/100))*0.96)),(((((MIN(($C15),99))/100))+5.0)/(1-(((MIN(($C15),99))/100))+5.0))))*100))/100))*0.96)),(((((MIN((C14),99))/100))+5.0)/(1-(((MIN((C14),99))/100))+5.0))))*100))/100))*0.96)),(((((MIN(($C$13),99))/100))+5.0)/(1-(((MIN(($C$13),99))/100))+5.0))))*100))/100))*0.96)),(((((MIN(($C12),99))/100))+5.0)/(1-(((MIN(($C12),99))/100))+5.0))))*100))/100))*0.96)),(((((MIN((C$11),99))/100))+5.0)/(1-(((MIN((C$11),99))/100))+5.0))))*100))/100))*0.96)),(((((MIN((C$10),99))/100))+5.0)/(1-(((MIN((C$10),99))/100))+5.0))))*100))/100))*0.96)),(((((MIN(($C9),99))/100))+5.0)/(1-(((MIN(($C9),99))/100))+5.0))))*100))/100))*0.96)),(((((MIN((C$8),99))/100))+5.0)/(1-(((MIN((C$8),99))/100))+5.0))))*100))/100))*0.96)),(((((MIN((C7),99))/100))+5.0)/(1-(((MIN((C7),99))/100))+5.0))))*100))/100))*0.96)),(((((MIN(($C$6),99))/100))+5.0)/(1-(((MIN(($C$6),99))/100))+5.0))))*100))/100))*0.96)),(((((MIN(($C$5),99))/100))+5.0)/(1-(((MIN(($C$5),99))/100))+5.0))))*100))/100))*0.96)),(((((MIN(($C$4),99))/100))+5.0)/(1-(((MIN(($C$4),99))/100))+5.0))))*100),0)</f>
        <v/>
      </c>
      <c r="D2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(42)/100))*0.96)),(((((MIN((C$20),99))/100))+5.0)/(1-(((MIN((C$20),99))/100))+5.0))))*100))/100))*0.96)),(((((MIN(($B$20),99))/100))+5.0)/(1-(((MIN(($B$20),99))/100))+5.0))))*100))/100))*0.96)),(((((MIN(($A20),99))/100))+5.0)/(1-(((MIN(($A20),99))/100))+5.0))))*100))/100))*0.96)),(((((MIN((D19),99))/100))+5.0)/(1-(((MIN((D19),99))/100))+5.0))))*100))/100))*0.96)),(((((MIN(($D18),99))/100))+5.0)/(1-(((MIN(($D18),99))/100))+5.0))))*100))/100))*0.96)),(((((MIN((D17),99))/100))+5.0)/(1-(((MIN((D17),99))/100))+5.0))))*100))/100))*0.96)),(((((MIN((D16),99))/100))+5.0)/(1-(((MIN((D16),99))/100))+5.0))))*100))/100))*0.96)),(((((MIN((D15),99))/100))+5.0)/(1-(((MIN((D15),99))/100))+5.0))))*100))/100))*0.96)),(((((MIN((D$14),99))/100))+5.0)/(1-(((MIN((D$14),99))/100))+5.0))))*100))/100))*0.96)),(((((MIN((D$13),99))/100))+5.0)/(1-(((MIN((D$13),99))/100))+5.0))))*100))/100))*0.96)),(((((MIN((D12),99))/100))+5.0)/(1-(((MIN((D12),99))/100))+5.0))))*100))/100))*0.96)),(((((MIN((D11),99))/100))+5.0)/(1-(((MIN((D11),99))/100))+5.0))))*100))/100))*0.96)),(((((MIN((D10),99))/100))+5.0)/(1-(((MIN((D10),99))/100))+5.0))))*100))/100))*0.96)),(((((MIN((D9),99))/100))+5.0)/(1-(((MIN((D9),99))/100))+5.0))))*100))/100))*0.96)),(((((MIN((D8),99))/100))+5.0)/(1-(((MIN((D8),99))/100))+5.0))))*100))/100))*0.96)),(((((MIN((D7),99))/100))+5.0)/(1-(((MIN((D7),99))/100))+5.0))))*100))/100))*0.96)),(((((MIN((D$6),99))/100))+5.0)/(1-(((MIN((D$6),99))/100))+5.0))))*100))/100))*0.96)),(((((MIN((D$5),99))/100))+5.0)/(1-(((MIN((D$5),99))/100))+5.0))))*100))/100))*0.96)),(((((MIN((D4),99))/100))+5.0)/(1-(((MIN((D4),99))/100))+5.0))))*100),0)</f>
        <v/>
      </c>
      <c r="E2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(8)/100))*0.96)),(((((MIN(($D20),99))/100))+5.0)/(1-(((MIN(($D20),99))/100))+5.0))))*100))/100))*0.96)),(((((MIN((C$20),99))/100))+5.0)/(1-(((MIN((C$20),99))/100))+5.0))))*100))/100))*0.96)),(((((MIN(($B20),99))/100))+5.0)/(1-(((MIN(($B20),99))/100))+5.0))))*100))/100))*0.96)),(((((MIN(($A20),99))/100))+5.0)/(1-(((MIN(($A20),99))/100))+5.0))))*100))/100))*0.96)),(((((MIN(($E$19),99))/100))+5.0)/(1-(((MIN(($E$19),99))/100))+5.0))))*100))/100))*0.96)),(((((MIN(($E18),99))/100))+5.0)/(1-(((MIN(($E18),99))/100))+5.0))))*100))/100))*0.96)),(((((MIN(($E$17),99))/100))+5.0)/(1-(((MIN(($E$17),99))/100))+5.0))))*100))/100))*0.96)),(((((MIN(($E16),99))/100))+5.0)/(1-(((MIN(($E16),99))/100))+5.0))))*100))/100))*0.96)),(((((MIN((E15),99))/100))+5.0)/(1-(((MIN((E15),99))/100))+5.0))))*100))/100))*0.96)),(((((MIN((E$14),99))/100))+5.0)/(1-(((MIN((E$14),99))/100))+5.0))))*100))/100))*0.96)),(((((MIN(($E$13),99))/100))+5.0)/(1-(((MIN(($E$13),99))/100))+5.0))))*100))/100))*0.96)),(((((MIN((E$12),99))/100))+5.0)/(1-(((MIN((E$12),99))/100))+5.0))))*100))/100))*0.96)),(((((MIN(($E11),99))/100))+5.0)/(1-(((MIN(($E11),99))/100))+5.0))))*100))/100))*0.96)),(((((MIN((E$10),99))/100))+5.0)/(1-(((MIN((E$10),99))/100))+5.0))))*100))/100))*0.96)),(((((MIN((E9),99))/100))+5.0)/(1-(((MIN((E9),99))/100))+5.0))))*100))/100))*0.96)),(((((MIN((E8),99))/100))+5.0)/(1-(((MIN((E8),99))/100))+5.0))))*100))/100))*0.96)),(((((MIN((E7),99))/100))+5.0)/(1-(((MIN((E7),99))/100))+5.0))))*100))/100))*0.96)),(((((MIN(($E$6),99))/100))+5.0)/(1-(((MIN(($E$6),99))/100))+5.0))))*100))/100))*0.96)),(((((MIN(($E$5),99))/100))+5.0)/(1-(((MIN(($E$5),99))/100))+5.0))))*100))/100))*0.96)),(((((MIN((E$4),99))/100))+5.0)/(1-(((MIN((E$4),99))/100))+5.0))))*100),0)</f>
        <v/>
      </c>
      <c r="F2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(48)/100))*0.96)),(((((MIN((E20),99))/100))+5.0)/(1-(((MIN((E20),99))/100))+5.0))))*100))/100))*0.96)),(((((MIN((D$20),99))/100))+5.0)/(1-(((MIN((D$20),99))/100))+5.0))))*100))/100))*0.96)),(((((MIN(($C20),99))/100))+5.0)/(1-(((MIN(($C20),99))/100))+5.0))))*100))/100))*0.96)),(((((MIN(($B20),99))/100))+5.0)/(1-(((MIN(($B20),99))/100))+5.0))))*100))/100))*0.96)),(((((MIN((A20),99))/100))+5.0)/(1-(((MIN((A20),99))/100))+5.0))))*100))/100))*0.96)),(((((MIN(($F$19),99))/100))+5.0)/(1-(((MIN(($F$19),99))/100))+5.0))))*100))/100))*0.96)),(((((MIN((F$18),99))/100))+5.0)/(1-(((MIN((F$18),99))/100))+5.0))))*100))/100))*0.96)),(((((MIN((F$17),99))/100))+5.0)/(1-(((MIN((F$17),99))/100))+5.0))))*100))/100))*0.96)),(((((MIN(($F$16),99))/100))+5.0)/(1-(((MIN(($F$16),99))/100))+5.0))))*100))/100))*0.96)),(((((MIN((F$15),99))/100))+5.0)/(1-(((MIN((F$15),99))/100))+5.0))))*100))/100))*0.96)),(((((MIN((F$14),99))/100))+5.0)/(1-(((MIN((F$14),99))/100))+5.0))))*100))/100))*0.96)),(((((MIN((F13),99))/100))+5.0)/(1-(((MIN((F13),99))/100))+5.0))))*100))/100))*0.96)),(((((MIN(($F12),99))/100))+5.0)/(1-(((MIN(($F12),99))/100))+5.0))))*100))/100))*0.96)),(((((MIN((F11),99))/100))+5.0)/(1-(((MIN((F11),99))/100))+5.0))))*100))/100))*0.96)),(((((MIN(($F10),99))/100))+5.0)/(1-(((MIN(($F10),99))/100))+5.0))))*100))/100))*0.96)),(((((MIN((F9),99))/100))+5.0)/(1-(((MIN((F9),99))/100))+5.0))))*100))/100))*0.96)),(((((MIN((F$8),99))/100))+5.0)/(1-(((MIN((F$8),99))/100))+5.0))))*100))/100))*0.96)),(((((MIN(($F$7),99))/100))+5.0)/(1-(((MIN(($F$7),99))/100))+5.0))))*100))/100))*0.96)),(((((MIN((F6),99))/100))+5.0)/(1-(((MIN((F6),99))/100))+5.0))))*100))/100))*0.96)),(((((MIN((F5),99))/100))+5.0)/(1-(((MIN((F5),99))/100))+5.0))))*100))/100))*0.96)),(((((MIN((F$4),99))/100))+5.0)/(1-(((MIN((F$4),99))/100))+5.0))))*100),0)</f>
        <v/>
      </c>
      <c r="G2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(72)/100))*0.96)),(((((MIN((F$20),99))/100))+5.0)/(1-(((MIN((F$20),99))/100))+5.0))))*100))/100))*0.96)),(((((MIN(($E$20),99))/100))+5.0)/(1-(((MIN(($E$20),99))/100))+5.0))))*100))/100))*0.96)),(((((MIN((D$20),99))/100))+5.0)/(1-(((MIN((D$20),99))/100))+5.0))))*100))/100))*0.96)),(((((MIN((C20),99))/100))+5.0)/(1-(((MIN((C20),99))/100))+5.0))))*100))/100))*0.96)),(((((MIN((B$20),99))/100))+5.0)/(1-(((MIN((B$20),99))/100))+5.0))))*100))/100))*0.96)),(((((MIN((A20),99))/100))+5.0)/(1-(((MIN((A20),99))/100))+5.0))))*100))/100))*0.96)),(((((MIN(($G$19),99))/100))+5.0)/(1-(((MIN(($G$19),99))/100))+5.0))))*100))/100))*0.96)),(((((MIN(($G18),99))/100))+5.0)/(1-(((MIN(($G18),99))/100))+5.0))))*100))/100))*0.96)),(((((MIN((G$17),99))/100))+5.0)/(1-(((MIN((G$17),99))/100))+5.0))))*100))/100))*0.96)),(((((MIN((G16),99))/100))+5.0)/(1-(((MIN((G16),99))/100))+5.0))))*100))/100))*0.96)),(((((MIN((G15),99))/100))+5.0)/(1-(((MIN((G15),99))/100))+5.0))))*100))/100))*0.96)),(((((MIN(($G14),99))/100))+5.0)/(1-(((MIN(($G14),99))/100))+5.0))))*100))/100))*0.96)),(((((MIN((G$13),99))/100))+5.0)/(1-(((MIN((G$13),99))/100))+5.0))))*100))/100))*0.96)),(((((MIN(($G12),99))/100))+5.0)/(1-(((MIN(($G12),99))/100))+5.0))))*100))/100))*0.96)),(((((MIN((G$11),99))/100))+5.0)/(1-(((MIN((G$11),99))/100))+5.0))))*100))/100))*0.96)),(((((MIN(($G10),99))/100))+5.0)/(1-(((MIN(($G10),99))/100))+5.0))))*100))/100))*0.96)),(((((MIN((G9),99))/100))+5.0)/(1-(((MIN((G9),99))/100))+5.0))))*100))/100))*0.96)),(((((MIN(($G$8),99))/100))+5.0)/(1-(((MIN(($G$8),99))/100))+5.0))))*100))/100))*0.96)),(((((MIN((G7),99))/100))+5.0)/(1-(((MIN((G7),99))/100))+5.0))))*100))/100))*0.96)),(((((MIN((G$6),99))/100))+5.0)/(1-(((MIN((G$6),99))/100))+5.0))))*100))/100))*0.96)),(((((MIN(($G5),99))/100))+5.0)/(1-(((MIN(($G5),99))/100))+5.0))))*100))/100))*0.96)),(((((MIN((G4),99))/100))+5.0)/(1-(((MIN((G4),99))/100))+5.0))))*100),0)</f>
        <v/>
      </c>
      <c r="H2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(73)/100))*0.96)),(((((MIN((G20),99))/100))+5.0)/(1-(((MIN((G20),99))/100))+5.0))))*100))/100))*0.96)),(((((MIN(($F20),99))/100))+5.0)/(1-(((MIN(($F20),99))/100))+5.0))))*100))/100))*0.96)),(((((MIN((E20),99))/100))+5.0)/(1-(((MIN((E20),99))/100))+5.0))))*100))/100))*0.96)),(((((MIN((D20),99))/100))+5.0)/(1-(((MIN((D20),99))/100))+5.0))))*100))/100))*0.96)),(((((MIN(($C20),99))/100))+5.0)/(1-(((MIN(($C20),99))/100))+5.0))))*100))/100))*0.96)),(((((MIN(($B$20),99))/100))+5.0)/(1-(((MIN(($B$20),99))/100))+5.0))))*100))/100))*0.96)),(((((MIN((A20),99))/100))+5.0)/(1-(((MIN((A20),99))/100))+5.0))))*100))/100))*0.96)),(((((MIN((H$19),99))/100))+5.0)/(1-(((MIN((H$19),99))/100))+5.0))))*100))/100))*0.96)),(((((MIN(($H$18),99))/100))+5.0)/(1-(((MIN(($H$18),99))/100))+5.0))))*100))/100))*0.96)),(((((MIN(($H17),99))/100))+5.0)/(1-(((MIN(($H17),99))/100))+5.0))))*100))/100))*0.96)),(((((MIN(($H16),99))/100))+5.0)/(1-(((MIN(($H16),99))/100))+5.0))))*100))/100))*0.96)),(((((MIN(($H$15),99))/100))+5.0)/(1-(((MIN(($H$15),99))/100))+5.0))))*100))/100))*0.96)),(((((MIN(($H$14),99))/100))+5.0)/(1-(((MIN(($H$14),99))/100))+5.0))))*100))/100))*0.96)),(((((MIN((H$13),99))/100))+5.0)/(1-(((MIN((H$13),99))/100))+5.0))))*100))/100))*0.96)),(((((MIN(($H$12),99))/100))+5.0)/(1-(((MIN(($H$12),99))/100))+5.0))))*100))/100))*0.96)),(((((MIN(($H$11),99))/100))+5.0)/(1-(((MIN(($H$11),99))/100))+5.0))))*100))/100))*0.96)),(((((MIN(($H10),99))/100))+5.0)/(1-(((MIN(($H10),99))/100))+5.0))))*100))/100))*0.96)),(((((MIN((H9),99))/100))+5.0)/(1-(((MIN((H9),99))/100))+5.0))))*100))/100))*0.96)),(((((MIN((H$8),99))/100))+5.0)/(1-(((MIN((H$8),99))/100))+5.0))))*100))/100))*0.96)),(((((MIN((H$7),99))/100))+5.0)/(1-(((MIN((H$7),99))/100))+5.0))))*100))/100))*0.96)),(((((MIN(($H$6),99))/100))+5.0)/(1-(((MIN(($H$6),99))/100))+5.0))))*100))/100))*0.96)),(((((MIN((H$5),99))/100))+5.0)/(1-(((MIN((H$5),99))/100))+5.0))))*100))/100))*0.96)),(((((MIN(($H4),99))/100))+5.0)/(1-(((MIN(($H4),99))/100))+5.0))))*100),0)</f>
        <v/>
      </c>
      <c r="I2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(61)/100))*0.96)),(((((MIN((H20),99))/100))+5.0)/(1-(((MIN((H20),99))/100))+5.0))))*100))/100))*0.96)),(((((MIN(($G$20),99))/100))+5.0)/(1-(((MIN(($G$20),99))/100))+5.0))))*100))/100))*0.96)),(((((MIN(($F$20),99))/100))+5.0)/(1-(((MIN(($F$20),99))/100))+5.0))))*100))/100))*0.96)),(((((MIN(($E20),99))/100))+5.0)/(1-(((MIN(($E20),99))/100))+5.0))))*100))/100))*0.96)),(((((MIN((D$20),99))/100))+5.0)/(1-(((MIN((D$20),99))/100))+5.0))))*100))/100))*0.96)),(((((MIN(($C20),99))/100))+5.0)/(1-(((MIN(($C20),99))/100))+5.0))))*100))/100))*0.96)),(((((MIN(($B$20),99))/100))+5.0)/(1-(((MIN(($B$20),99))/100))+5.0))))*100))/100))*0.96)),(((((MIN((A20),99))/100))+5.0)/(1-(((MIN((A20),99))/100))+5.0))))*100))/100))*0.96)),(((((MIN((I19),99))/100))+5.0)/(1-(((MIN((I19),99))/100))+5.0))))*100))/100))*0.96)),(((((MIN((I18),99))/100))+5.0)/(1-(((MIN((I18),99))/100))+5.0))))*100))/100))*0.96)),(((((MIN((I$17),99))/100))+5.0)/(1-(((MIN((I$17),99))/100))+5.0))))*100))/100))*0.96)),(((((MIN((I$16),99))/100))+5.0)/(1-(((MIN((I$16),99))/100))+5.0))))*100))/100))*0.96)),(((((MIN((I15),99))/100))+5.0)/(1-(((MIN((I15),99))/100))+5.0))))*100))/100))*0.96)),(((((MIN(($I$14),99))/100))+5.0)/(1-(((MIN(($I$14),99))/100))+5.0))))*100))/100))*0.96)),(((((MIN((I$13),99))/100))+5.0)/(1-(((MIN((I$13),99))/100))+5.0))))*100))/100))*0.96)),(((((MIN((I$12),99))/100))+5.0)/(1-(((MIN((I$12),99))/100))+5.0))))*100))/100))*0.96)),(((((MIN(($I11),99))/100))+5.0)/(1-(((MIN(($I11),99))/100))+5.0))))*100))/100))*0.96)),(((((MIN((I10),99))/100))+5.0)/(1-(((MIN((I10),99))/100))+5.0))))*100))/100))*0.96)),(((((MIN((I9),99))/100))+5.0)/(1-(((MIN((I9),99))/100))+5.0))))*100))/100))*0.96)),(((((MIN(($I$8),99))/100))+5.0)/(1-(((MIN(($I$8),99))/100))+5.0))))*100))/100))*0.96)),(((((MIN(($I7),99))/100))+5.0)/(1-(((MIN(($I7),99))/100))+5.0))))*100))/100))*0.96)),(((((MIN(($I6),99))/100))+5.0)/(1-(((MIN(($I6),99))/100))+5.0))))*100))/100))*0.96)),(((((MIN((I5),99))/100))+5.0)/(1-(((MIN((I5),99))/100))+5.0))))*100))/100))*0.96)),(((((MIN((I$4),99))/100))+5.0)/(1-(((MIN((I$4),99))/100))+5.0))))*100),0)</f>
        <v/>
      </c>
      <c r="J2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(69)/100))*0.96)),(((((MIN(($I20),99))/100))+5.0)/(1-(((MIN(($I20),99))/100))+5.0))))*100))/100))*0.96)),(((((MIN(($H$20),99))/100))+5.0)/(1-(((MIN(($H$20),99))/100))+5.0))))*100))/100))*0.96)),(((((MIN(($G20),99))/100))+5.0)/(1-(((MIN(($G20),99))/100))+5.0))))*100))/100))*0.96)),(((((MIN((F20),99))/100))+5.0)/(1-(((MIN((F20),99))/100))+5.0))))*100))/100))*0.96)),(((((MIN((E$20),99))/100))+5.0)/(1-(((MIN((E$20),99))/100))+5.0))))*100))/100))*0.96)),(((((MIN(($D$20),99))/100))+5.0)/(1-(((MIN(($D$20),99))/100))+5.0))))*100))/100))*0.96)),(((((MIN((C20),99))/100))+5.0)/(1-(((MIN((C20),99))/100))+5.0))))*100))/100))*0.96)),(((((MIN((B20),99))/100))+5.0)/(1-(((MIN((B20),99))/100))+5.0))))*100))/100))*0.96)),(((((MIN(($J$19),99))/100))+5.0)/(1-(((MIN(($J$19),99))/100))+5.0))))*100))/100))*0.96)),(((((MIN(($J18),99))/100))+5.0)/(1-(((MIN(($J18),99))/100))+5.0))))*100))/100))*0.96)),(((((MIN((J17),99))/100))+5.0)/(1-(((MIN((J17),99))/100))+5.0))))*100))/100))*0.96)),(((((MIN((J16),99))/100))+5.0)/(1-(((MIN((J16),99))/100))+5.0))))*100))/100))*0.96)),(((((MIN(($J$15),99))/100))+5.0)/(1-(((MIN(($J$15),99))/100))+5.0))))*100))/100))*0.96)),(((((MIN((J$14),99))/100))+5.0)/(1-(((MIN((J$14),99))/100))+5.0))))*100))/100))*0.96)),(((((MIN(($J$13),99))/100))+5.0)/(1-(((MIN(($J$13),99))/100))+5.0))))*100))/100))*0.96)),(((((MIN((J$12),99))/100))+5.0)/(1-(((MIN((J$12),99))/100))+5.0))))*100))/100))*0.96)),(((((MIN((J11),99))/100))+5.0)/(1-(((MIN((J11),99))/100))+5.0))))*100))/100))*0.96)),(((((MIN(($J10),99))/100))+5.0)/(1-(((MIN(($J10),99))/100))+5.0))))*100))/100))*0.96)),(((((MIN(($J$9),99))/100))+5.0)/(1-(((MIN(($J$9),99))/100))+5.0))))*100))/100))*0.96)),(((((MIN((J8),99))/100))+5.0)/(1-(((MIN((J8),99))/100))+5.0))))*100))/100))*0.96)),(((((MIN((J7),99))/100))+5.0)/(1-(((MIN((J7),99))/100))+5.0))))*100))/100))*0.96)),(((((MIN(($J$6),99))/100))+5.0)/(1-(((MIN(($J$6),99))/100))+5.0))))*100))/100))*0.96)),(((((MIN((J$5),99))/100))+5.0)/(1-(((MIN((J$5),99))/100))+5.0))))*100))/100))*0.96)),(((((MIN(($J4),99))/100))+5.0)/(1-(((MIN(($J4),99))/100))+5.0))))*100),0)</f>
        <v/>
      </c>
      <c r="K2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(63)/100))*0.96)),(((((MIN((J$20),99))/100))+5.0)/(1-(((MIN((J$20),99))/100))+5.0))))*100))/100))*0.96)),(((((MIN((I$20),99))/100))+5.0)/(1-(((MIN((I$20),99))/100))+5.0))))*100))/100))*0.96)),(((((MIN(($H20),99))/100))+5.0)/(1-(((MIN(($H20),99))/100))+5.0))))*100))/100))*0.96)),(((((MIN(($G20),99))/100))+5.0)/(1-(((MIN(($G20),99))/100))+5.0))))*100))/100))*0.96)),(((((MIN((F20),99))/100))+5.0)/(1-(((MIN((F20),99))/100))+5.0))))*100))/100))*0.96)),(((((MIN((E20),99))/100))+5.0)/(1-(((MIN((E20),99))/100))+5.0))))*100))/100))*0.96)),(((((MIN(($D$20),99))/100))+5.0)/(1-(((MIN(($D$20),99))/100))+5.0))))*100))/100))*0.96)),(((((MIN(($C20),99))/100))+5.0)/(1-(((MIN(($C20),99))/100))+5.0))))*100))/100))*0.96)),(((((MIN((K19),99))/100))+5.0)/(1-(((MIN((K19),99))/100))+5.0))))*100))/100))*0.96)),(((((MIN(($K$18),99))/100))+5.0)/(1-(((MIN(($K$18),99))/100))+5.0))))*100))/100))*0.96)),(((((MIN(($K$17),99))/100))+5.0)/(1-(((MIN(($K$17),99))/100))+5.0))))*100))/100))*0.96)),(((((MIN((K16),99))/100))+5.0)/(1-(((MIN((K16),99))/100))+5.0))))*100))/100))*0.96)),(((((MIN((K15),99))/100))+5.0)/(1-(((MIN((K15),99))/100))+5.0))))*100))/100))*0.96)),(((((MIN(($K$14),99))/100))+5.0)/(1-(((MIN(($K$14),99))/100))+5.0))))*100))/100))*0.96)),(((((MIN((K$13),99))/100))+5.0)/(1-(((MIN((K$13),99))/100))+5.0))))*100))/100))*0.96)),(((((MIN(($K$12),99))/100))+5.0)/(1-(((MIN(($K$12),99))/100))+5.0))))*100))/100))*0.96)),(((((MIN(($K$11),99))/100))+5.0)/(1-(((MIN(($K$11),99))/100))+5.0))))*100))/100))*0.96)),(((((MIN((K$10),99))/100))+5.0)/(1-(((MIN((K$10),99))/100))+5.0))))*100))/100))*0.96)),(((((MIN(($K$9),99))/100))+5.0)/(1-(((MIN(($K$9),99))/100))+5.0))))*100))/100))*0.96)),(((((MIN(($K$8),99))/100))+5.0)/(1-(((MIN(($K$8),99))/100))+5.0))))*100))/100))*0.96)),(((((MIN((K7),99))/100))+5.0)/(1-(((MIN((K7),99))/100))+5.0))))*100))/100))*0.96)),(((((MIN(($K$6),99))/100))+5.0)/(1-(((MIN(($K$6),99))/100))+5.0))))*100))/100))*0.96)),(((((MIN((K$5),99))/100))+5.0)/(1-(((MIN((K$5),99))/100))+5.0))))*100))/100))*0.96)),(((((MIN((K4),99))/100))+5.0)/(1-(((MIN((K4),99))/100))+5.0))))*100),0)</f>
        <v/>
      </c>
      <c r="L2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(38)/100))*0.96)),(((((MIN((K$20),99))/100))+5.0)/(1-(((MIN((K$20),99))/100))+5.0))))*100))/100))*0.96)),(((((MIN((J$20),99))/100))+5.0)/(1-(((MIN((J$20),99))/100))+5.0))))*100))/100))*0.96)),(((((MIN(($I20),99))/100))+5.0)/(1-(((MIN(($I20),99))/100))+5.0))))*100))/100))*0.96)),(((((MIN((H$20),99))/100))+5.0)/(1-(((MIN((H$20),99))/100))+5.0))))*100))/100))*0.96)),(((((MIN((G$20),99))/100))+5.0)/(1-(((MIN((G$20),99))/100))+5.0))))*100))/100))*0.96)),(((((MIN((F20),99))/100))+5.0)/(1-(((MIN((F20),99))/100))+5.0))))*100))/100))*0.96)),(((((MIN(($E20),99))/100))+5.0)/(1-(((MIN(($E20),99))/100))+5.0))))*100))/100))*0.96)),(((((MIN(($D$20),99))/100))+5.0)/(1-(((MIN(($D$20),99))/100))+5.0))))*100))/100))*0.96)),(((((MIN((L$19),99))/100))+5.0)/(1-(((MIN((L$19),99))/100))+5.0))))*100))/100))*0.96)),(((((MIN((L$18),99))/100))+5.0)/(1-(((MIN((L$18),99))/100))+5.0))))*100))/100))*0.96)),(((((MIN(($L$17),99))/100))+5.0)/(1-(((MIN(($L$17),99))/100))+5.0))))*100))/100))*0.96)),(((((MIN((L$16),99))/100))+5.0)/(1-(((MIN((L$16),99))/100))+5.0))))*100))/100))*0.96)),(((((MIN((L15),99))/100))+5.0)/(1-(((MIN((L15),99))/100))+5.0))))*100))/100))*0.96)),(((((MIN(($L14),99))/100))+5.0)/(1-(((MIN(($L14),99))/100))+5.0))))*100))/100))*0.96)),(((((MIN(($L13),99))/100))+5.0)/(1-(((MIN(($L13),99))/100))+5.0))))*100))/100))*0.96)),(((((MIN((L12),99))/100))+5.0)/(1-(((MIN((L12),99))/100))+5.0))))*100))/100))*0.96)),(((((MIN((L$11),99))/100))+5.0)/(1-(((MIN((L$11),99))/100))+5.0))))*100))/100))*0.96)),(((((MIN(($L10),99))/100))+5.0)/(1-(((MIN(($L10),99))/100))+5.0))))*100))/100))*0.96)),(((((MIN((L$9),99))/100))+5.0)/(1-(((MIN((L$9),99))/100))+5.0))))*100))/100))*0.96)),(((((MIN((L$8),99))/100))+5.0)/(1-(((MIN((L$8),99))/100))+5.0))))*100))/100))*0.96)),(((((MIN((L$7),99))/100))+5.0)/(1-(((MIN((L$7),99))/100))+5.0))))*100))/100))*0.96)),(((((MIN(($L6),99))/100))+5.0)/(1-(((MIN(($L6),99))/100))+5.0))))*100))/100))*0.96)),(((((MIN((L5),99))/100))+5.0)/(1-(((MIN((L5),99))/100))+5.0))))*100))/100))*0.96)),(((((MIN((L$4),99))/100))+5.0)/(1-(((MIN((L$4),99))/100))+5.0))))*100),0)</f>
        <v/>
      </c>
      <c r="M2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(17)/100))*0.96)),(((((MIN(($L20),99))/100))+5.0)/(1-(((MIN(($L20),99))/100))+5.0))))*100))/100))*0.96)),(((((MIN((K20),99))/100))+5.0)/(1-(((MIN((K20),99))/100))+5.0))))*100))/100))*0.96)),(((((MIN(($J$20),99))/100))+5.0)/(1-(((MIN(($J$20),99))/100))+5.0))))*100))/100))*0.96)),(((((MIN((I20),99))/100))+5.0)/(1-(((MIN((I20),99))/100))+5.0))))*100))/100))*0.96)),(((((MIN(($H20),99))/100))+5.0)/(1-(((MIN(($H20),99))/100))+5.0))))*100))/100))*0.96)),(((((MIN((G$20),99))/100))+5.0)/(1-(((MIN((G$20),99))/100))+5.0))))*100))/100))*0.96)),(((((MIN((F$20),99))/100))+5.0)/(1-(((MIN((F$20),99))/100))+5.0))))*100))/100))*0.96)),(((((MIN((E20),99))/100))+5.0)/(1-(((MIN((E20),99))/100))+5.0))))*100))/100))*0.96)),(((((MIN((M19),99))/100))+5.0)/(1-(((MIN((M19),99))/100))+5.0))))*100))/100))*0.96)),(((((MIN((M$18),99))/100))+5.0)/(1-(((MIN((M$18),99))/100))+5.0))))*100))/100))*0.96)),(((((MIN(($M17),99))/100))+5.0)/(1-(((MIN(($M17),99))/100))+5.0))))*100))/100))*0.96)),(((((MIN((M16),99))/100))+5.0)/(1-(((MIN((M16),99))/100))+5.0))))*100))/100))*0.96)),(((((MIN(($M$15),99))/100))+5.0)/(1-(((MIN(($M$15),99))/100))+5.0))))*100))/100))*0.96)),(((((MIN((M$14),99))/100))+5.0)/(1-(((MIN((M$14),99))/100))+5.0))))*100))/100))*0.96)),(((((MIN((M$13),99))/100))+5.0)/(1-(((MIN((M$13),99))/100))+5.0))))*100))/100))*0.96)),(((((MIN(($M12),99))/100))+5.0)/(1-(((MIN(($M12),99))/100))+5.0))))*100))/100))*0.96)),(((((MIN(($M$11),99))/100))+5.0)/(1-(((MIN(($M$11),99))/100))+5.0))))*100))/100))*0.96)),(((((MIN((M10),99))/100))+5.0)/(1-(((MIN((M10),99))/100))+5.0))))*100))/100))*0.96)),(((((MIN((M$9),99))/100))+5.0)/(1-(((MIN((M$9),99))/100))+5.0))))*100))/100))*0.96)),(((((MIN((M$8),99))/100))+5.0)/(1-(((MIN((M$8),99))/100))+5.0))))*100))/100))*0.96)),(((((MIN(($M7),99))/100))+5.0)/(1-(((MIN(($M7),99))/100))+5.0))))*100))/100))*0.96)),(((((MIN(($M6),99))/100))+5.0)/(1-(((MIN(($M6),99))/100))+5.0))))*100))/100))*0.96)),(((((MIN(($M5),99))/100))+5.0)/(1-(((MIN(($M5),99))/100))+5.0))))*100))/100))*0.96)),(((((MIN(($M$4),99))/100))+5.0)/(1-(((MIN(($M$4),99))/100))+5.0))))*100),0)</f>
        <v/>
      </c>
      <c r="N2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(18)/100))*0.96)),(((((MIN(($M20),99))/100))+5.0)/(1-(((MIN(($M20),99))/100))+5.0))))*100))/100))*0.96)),(((((MIN(($L$20),99))/100))+5.0)/(1-(((MIN(($L$20),99))/100))+5.0))))*100))/100))*0.96)),(((((MIN(($K$20),99))/100))+5.0)/(1-(((MIN(($K$20),99))/100))+5.0))))*100))/100))*0.96)),(((((MIN(($J20),99))/100))+5.0)/(1-(((MIN(($J20),99))/100))+5.0))))*100))/100))*0.96)),(((((MIN(($I$20),99))/100))+5.0)/(1-(((MIN(($I$20),99))/100))+5.0))))*100))/100))*0.96)),(((((MIN((H$20),99))/100))+5.0)/(1-(((MIN((H$20),99))/100))+5.0))))*100))/100))*0.96)),(((((MIN(($G$20),99))/100))+5.0)/(1-(((MIN(($G$20),99))/100))+5.0))))*100))/100))*0.96)),(((((MIN(($F20),99))/100))+5.0)/(1-(((MIN(($F20),99))/100))+5.0))))*100))/100))*0.96)),(((((MIN(($N19),99))/100))+5.0)/(1-(((MIN(($N19),99))/100))+5.0))))*100))/100))*0.96)),(((((MIN((N18),99))/100))+5.0)/(1-(((MIN((N18),99))/100))+5.0))))*100))/100))*0.96)),(((((MIN((N$17),99))/100))+5.0)/(1-(((MIN((N$17),99))/100))+5.0))))*100))/100))*0.96)),(((((MIN(($N16),99))/100))+5.0)/(1-(((MIN(($N16),99))/100))+5.0))))*100))/100))*0.96)),(((((MIN((N$15),99))/100))+5.0)/(1-(((MIN((N$15),99))/100))+5.0))))*100))/100))*0.96)),(((((MIN((N14),99))/100))+5.0)/(1-(((MIN((N14),99))/100))+5.0))))*100))/100))*0.96)),(((((MIN(($N13),99))/100))+5.0)/(1-(((MIN(($N13),99))/100))+5.0))))*100))/100))*0.96)),(((((MIN(($N12),99))/100))+5.0)/(1-(((MIN(($N12),99))/100))+5.0))))*100))/100))*0.96)),(((((MIN(($N11),99))/100))+5.0)/(1-(((MIN(($N11),99))/100))+5.0))))*100))/100))*0.96)),(((((MIN((N$10),99))/100))+5.0)/(1-(((MIN((N$10),99))/100))+5.0))))*100))/100))*0.96)),(((((MIN((N9),99))/100))+5.0)/(1-(((MIN((N9),99))/100))+5.0))))*100))/100))*0.96)),(((((MIN((N$8),99))/100))+5.0)/(1-(((MIN((N$8),99))/100))+5.0))))*100))/100))*0.96)),(((((MIN(($N7),99))/100))+5.0)/(1-(((MIN(($N7),99))/100))+5.0))))*100))/100))*0.96)),(((((MIN((N6),99))/100))+5.0)/(1-(((MIN((N6),99))/100))+5.0))))*100))/100))*0.96)),(((((MIN(($N5),99))/100))+5.0)/(1-(((MIN(($N5),99))/100))+5.0))))*100))/100))*0.96)),(((((MIN((N$4),99))/100))+5.0)/(1-(((MIN((N$4),99))/100))+5.0))))*100),0)</f>
        <v/>
      </c>
      <c r="O2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(51)/100))*0.96)),(((((MIN((N$20),99))/100))+5.0)/(1-(((MIN((N$20),99))/100))+5.0))))*100))/100))*0.96)),(((((MIN(($M20),99))/100))+5.0)/(1-(((MIN(($M20),99))/100))+5.0))))*100))/100))*0.96)),(((((MIN((L20),99))/100))+5.0)/(1-(((MIN((L20),99))/100))+5.0))))*100))/100))*0.96)),(((((MIN((K$20),99))/100))+5.0)/(1-(((MIN((K$20),99))/100))+5.0))))*100))/100))*0.96)),(((((MIN((J$20),99))/100))+5.0)/(1-(((MIN((J$20),99))/100))+5.0))))*100))/100))*0.96)),(((((MIN(($I20),99))/100))+5.0)/(1-(((MIN(($I20),99))/100))+5.0))))*100))/100))*0.96)),(((((MIN(($H20),99))/100))+5.0)/(1-(((MIN(($H20),99))/100))+5.0))))*100))/100))*0.96)),(((((MIN(($G20),99))/100))+5.0)/(1-(((MIN(($G20),99))/100))+5.0))))*100))/100))*0.96)),(((((MIN(($O19),99))/100))+5.0)/(1-(((MIN(($O19),99))/100))+5.0))))*100))/100))*0.96)),(((((MIN((O18),99))/100))+5.0)/(1-(((MIN((O18),99))/100))+5.0))))*100))/100))*0.96)),(((((MIN((O17),99))/100))+5.0)/(1-(((MIN((O17),99))/100))+5.0))))*100))/100))*0.96)),(((((MIN(($O16),99))/100))+5.0)/(1-(((MIN(($O16),99))/100))+5.0))))*100))/100))*0.96)),(((((MIN((O$15),99))/100))+5.0)/(1-(((MIN((O$15),99))/100))+5.0))))*100))/100))*0.96)),(((((MIN(($O$14),99))/100))+5.0)/(1-(((MIN(($O$14),99))/100))+5.0))))*100))/100))*0.96)),(((((MIN((O$13),99))/100))+5.0)/(1-(((MIN((O$13),99))/100))+5.0))))*100))/100))*0.96)),(((((MIN((O$12),99))/100))+5.0)/(1-(((MIN((O$12),99))/100))+5.0))))*100))/100))*0.96)),(((((MIN((O$11),99))/100))+5.0)/(1-(((MIN((O$11),99))/100))+5.0))))*100))/100))*0.96)),(((((MIN((O$10),99))/100))+5.0)/(1-(((MIN((O$10),99))/100))+5.0))))*100))/100))*0.96)),(((((MIN((O$9),99))/100))+5.0)/(1-(((MIN((O$9),99))/100))+5.0))))*100))/100))*0.96)),(((((MIN(($O8),99))/100))+5.0)/(1-(((MIN(($O8),99))/100))+5.0))))*100))/100))*0.96)),(((((MIN((O7),99))/100))+5.0)/(1-(((MIN((O7),99))/100))+5.0))))*100))/100))*0.96)),(((((MIN((O$6),99))/100))+5.0)/(1-(((MIN((O$6),99))/100))+5.0))))*100))/100))*0.96)),(((((MIN((O5),99))/100))+5.0)/(1-(((MIN((O5),99))/100))+5.0))))*100))/100))*0.96)),(((((MIN(($O4),99))/100))+5.0)/(1-(((MIN(($O4),99))/100))+5.0))))*100),0)</f>
        <v/>
      </c>
      <c r="P2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(28)/100))*0.96)),(((((MIN((O$20),99))/100))+5.0)/(1-(((MIN((O$20),99))/100))+5.0))))*100))/100))*0.96)),(((((MIN((N20),99))/100))+5.0)/(1-(((MIN((N20),99))/100))+5.0))))*100))/100))*0.96)),(((((MIN(($M$20),99))/100))+5.0)/(1-(((MIN(($M$20),99))/100))+5.0))))*100))/100))*0.96)),(((((MIN(($L$20),99))/100))+5.0)/(1-(((MIN(($L$20),99))/100))+5.0))))*100))/100))*0.96)),(((((MIN((K20),99))/100))+5.0)/(1-(((MIN((K20),99))/100))+5.0))))*100))/100))*0.96)),(((((MIN((J20),99))/100))+5.0)/(1-(((MIN((J20),99))/100))+5.0))))*100))/100))*0.96)),(((((MIN((I$20),99))/100))+5.0)/(1-(((MIN((I$20),99))/100))+5.0))))*100))/100))*0.96)),(((((MIN((H$20),99))/100))+5.0)/(1-(((MIN((H$20),99))/100))+5.0))))*100))/100))*0.96)),(((((MIN(($P19),99))/100))+5.0)/(1-(((MIN(($P19),99))/100))+5.0))))*100))/100))*0.96)),(((((MIN((P18),99))/100))+5.0)/(1-(((MIN((P18),99))/100))+5.0))))*100))/100))*0.96)),(((((MIN((P$17),99))/100))+5.0)/(1-(((MIN((P$17),99))/100))+5.0))))*100))/100))*0.96)),(((((MIN((P16),99))/100))+5.0)/(1-(((MIN((P16),99))/100))+5.0))))*100))/100))*0.96)),(((((MIN((P15),99))/100))+5.0)/(1-(((MIN((P15),99))/100))+5.0))))*100))/100))*0.96)),(((((MIN(($P14),99))/100))+5.0)/(1-(((MIN(($P14),99))/100))+5.0))))*100))/100))*0.96)),(((((MIN((P13),99))/100))+5.0)/(1-(((MIN((P13),99))/100))+5.0))))*100))/100))*0.96)),(((((MIN(($P$12),99))/100))+5.0)/(1-(((MIN(($P$12),99))/100))+5.0))))*100))/100))*0.96)),(((((MIN(($P11),99))/100))+5.0)/(1-(((MIN(($P11),99))/100))+5.0))))*100))/100))*0.96)),(((((MIN((P$10),99))/100))+5.0)/(1-(((MIN((P$10),99))/100))+5.0))))*100))/100))*0.96)),(((((MIN(($P$9),99))/100))+5.0)/(1-(((MIN(($P$9),99))/100))+5.0))))*100))/100))*0.96)),(((((MIN((P8),99))/100))+5.0)/(1-(((MIN((P8),99))/100))+5.0))))*100))/100))*0.96)),(((((MIN(($P7),99))/100))+5.0)/(1-(((MIN(($P7),99))/100))+5.0))))*100))/100))*0.96)),(((((MIN(($P6),99))/100))+5.0)/(1-(((MIN(($P6),99))/100))+5.0))))*100))/100))*0.96)),(((((MIN((P$5),99))/100))+5.0)/(1-(((MIN((P$5),99))/100))+5.0))))*100))/100))*0.96)),(((((MIN((P4),99))/100))+5.0)/(1-(((MIN((P4),99))/100))+5.0))))*100),0)</f>
        <v/>
      </c>
      <c r="Q2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(32)/100))*0.96)),(((((MIN((P$20),99))/100))+5.0)/(1-(((MIN((P$20),99))/100))+5.0))))*100))/100))*0.96)),(((((MIN(($O20),99))/100))+5.0)/(1-(((MIN(($O20),99))/100))+5.0))))*100))/100))*0.96)),(((((MIN(($N$20),99))/100))+5.0)/(1-(((MIN(($N$20),99))/100))+5.0))))*100))/100))*0.96)),(((((MIN(($M$20),99))/100))+5.0)/(1-(((MIN(($M$20),99))/100))+5.0))))*100))/100))*0.96)),(((((MIN((L$20),99))/100))+5.0)/(1-(((MIN((L$20),99))/100))+5.0))))*100))/100))*0.96)),(((((MIN(($K$20),99))/100))+5.0)/(1-(((MIN(($K$20),99))/100))+5.0))))*100))/100))*0.96)),(((((MIN(($J20),99))/100))+5.0)/(1-(((MIN(($J20),99))/100))+5.0))))*100))/100))*0.96)),(((((MIN(($I$20),99))/100))+5.0)/(1-(((MIN(($I$20),99))/100))+5.0))))*100))/100))*0.96)),(((((MIN(($Q19),99))/100))+5.0)/(1-(((MIN(($Q19),99))/100))+5.0))))*100))/100))*0.96)),(((((MIN((Q$18),99))/100))+5.0)/(1-(((MIN((Q$18),99))/100))+5.0))))*100))/100))*0.96)),(((((MIN((Q$17),99))/100))+5.0)/(1-(((MIN((Q$17),99))/100))+5.0))))*100))/100))*0.96)),(((((MIN(($Q16),99))/100))+5.0)/(1-(((MIN(($Q16),99))/100))+5.0))))*100))/100))*0.96)),(((((MIN(($Q15),99))/100))+5.0)/(1-(((MIN(($Q15),99))/100))+5.0))))*100))/100))*0.96)),(((((MIN((Q$14),99))/100))+5.0)/(1-(((MIN((Q$14),99))/100))+5.0))))*100))/100))*0.96)),(((((MIN(($Q$13),99))/100))+5.0)/(1-(((MIN(($Q$13),99))/100))+5.0))))*100))/100))*0.96)),(((((MIN(($Q12),99))/100))+5.0)/(1-(((MIN(($Q12),99))/100))+5.0))))*100))/100))*0.96)),(((((MIN((Q11),99))/100))+5.0)/(1-(((MIN((Q11),99))/100))+5.0))))*100))/100))*0.96)),(((((MIN((Q10),99))/100))+5.0)/(1-(((MIN((Q10),99))/100))+5.0))))*100))/100))*0.96)),(((((MIN((Q$9),99))/100))+5.0)/(1-(((MIN((Q$9),99))/100))+5.0))))*100))/100))*0.96)),(((((MIN((Q$8),99))/100))+5.0)/(1-(((MIN((Q$8),99))/100))+5.0))))*100))/100))*0.96)),(((((MIN((Q$7),99))/100))+5.0)/(1-(((MIN((Q$7),99))/100))+5.0))))*100))/100))*0.96)),(((((MIN(($Q6),99))/100))+5.0)/(1-(((MIN(($Q6),99))/100))+5.0))))*100))/100))*0.96)),(((((MIN(($Q5),99))/100))+5.0)/(1-(((MIN(($Q5),99))/100))+5.0))))*100))/100))*0.96)),(((((MIN((Q4),99))/100))+5.0)/(1-(((MIN((Q4),99))/100))+5.0))))*100),0)</f>
        <v/>
      </c>
      <c r="R2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(82)/100))*0.96)),(((((MIN(($Q20),99))/100))+5.0)/(1-(((MIN(($Q20),99))/100))+5.0))))*100))/100))*0.96)),(((((MIN(($P$20),99))/100))+5.0)/(1-(((MIN(($P$20),99))/100))+5.0))))*100))/100))*0.96)),(((((MIN((O20),99))/100))+5.0)/(1-(((MIN((O20),99))/100))+5.0))))*100))/100))*0.96)),(((((MIN((N$20),99))/100))+5.0)/(1-(((MIN((N$20),99))/100))+5.0))))*100))/100))*0.96)),(((((MIN((M20),99))/100))+5.0)/(1-(((MIN((M20),99))/100))+5.0))))*100))/100))*0.96)),(((((MIN(($L20),99))/100))+5.0)/(1-(((MIN(($L20),99))/100))+5.0))))*100))/100))*0.96)),(((((MIN(($K$20),99))/100))+5.0)/(1-(((MIN(($K$20),99))/100))+5.0))))*100))/100))*0.96)),(((((MIN(($J$20),99))/100))+5.0)/(1-(((MIN(($J$20),99))/100))+5.0))))*100))/100))*0.96)),(((((MIN(($R$19),99))/100))+5.0)/(1-(((MIN(($R$19),99))/100))+5.0))))*100))/100))*0.96)),(((((MIN(($R$18),99))/100))+5.0)/(1-(((MIN(($R$18),99))/100))+5.0))))*100))/100))*0.96)),(((((MIN((R17),99))/100))+5.0)/(1-(((MIN((R17),99))/100))+5.0))))*100))/100))*0.96)),(((((MIN((R$16),99))/100))+5.0)/(1-(((MIN((R$16),99))/100))+5.0))))*100))/100))*0.96)),(((((MIN((R15),99))/100))+5.0)/(1-(((MIN((R15),99))/100))+5.0))))*100))/100))*0.96)),(((((MIN(($R14),99))/100))+5.0)/(1-(((MIN(($R14),99))/100))+5.0))))*100))/100))*0.96)),(((((MIN((R13),99))/100))+5.0)/(1-(((MIN((R13),99))/100))+5.0))))*100))/100))*0.96)),(((((MIN((R$12),99))/100))+5.0)/(1-(((MIN((R$12),99))/100))+5.0))))*100))/100))*0.96)),(((((MIN((R$11),99))/100))+5.0)/(1-(((MIN((R$11),99))/100))+5.0))))*100))/100))*0.96)),(((((MIN((R10),99))/100))+5.0)/(1-(((MIN((R10),99))/100))+5.0))))*100))/100))*0.96)),(((((MIN(($R9),99))/100))+5.0)/(1-(((MIN(($R9),99))/100))+5.0))))*100))/100))*0.96)),(((((MIN((R$8),99))/100))+5.0)/(1-(((MIN((R$8),99))/100))+5.0))))*100))/100))*0.96)),(((((MIN(($R$7),99))/100))+5.0)/(1-(((MIN(($R$7),99))/100))+5.0))))*100))/100))*0.96)),(((((MIN(($R$6),99))/100))+5.0)/(1-(((MIN(($R$6),99))/100))+5.0))))*100))/100))*0.96)),(((((MIN((R$5),99))/100))+5.0)/(1-(((MIN((R$5),99))/100))+5.0))))*100))/100))*0.96)),(((((MIN(($R4),99))/100))+5.0)/(1-(((MIN(($R4),99))/100))+5.0))))*100),0)</f>
        <v/>
      </c>
      <c r="S2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(72)/100))*0.96)),(((((MIN(($R$20),99))/100))+5.0)/(1-(((MIN(($R$20),99))/100))+5.0))))*100))/100))*0.96)),(((((MIN((Q20),99))/100))+5.0)/(1-(((MIN((Q20),99))/100))+5.0))))*100))/100))*0.96)),(((((MIN(($P20),99))/100))+5.0)/(1-(((MIN(($P20),99))/100))+5.0))))*100))/100))*0.96)),(((((MIN(($O20),99))/100))+5.0)/(1-(((MIN(($O20),99))/100))+5.0))))*100))/100))*0.96)),(((((MIN((N20),99))/100))+5.0)/(1-(((MIN((N20),99))/100))+5.0))))*100))/100))*0.96)),(((((MIN(($M$20),99))/100))+5.0)/(1-(((MIN(($M$20),99))/100))+5.0))))*100))/100))*0.96)),(((((MIN(($L20),99))/100))+5.0)/(1-(((MIN(($L20),99))/100))+5.0))))*100))/100))*0.96)),(((((MIN(($K$20),99))/100))+5.0)/(1-(((MIN(($K$20),99))/100))+5.0))))*100))/100))*0.96)),(((((MIN(($S$19),99))/100))+5.0)/(1-(((MIN(($S$19),99))/100))+5.0))))*100))/100))*0.96)),(((((MIN((S$18),99))/100))+5.0)/(1-(((MIN((S$18),99))/100))+5.0))))*100))/100))*0.96)),(((((MIN(($S17),99))/100))+5.0)/(1-(((MIN(($S17),99))/100))+5.0))))*100))/100))*0.96)),(((((MIN(($S16),99))/100))+5.0)/(1-(((MIN(($S16),99))/100))+5.0))))*100))/100))*0.96)),(((((MIN(($S$15),99))/100))+5.0)/(1-(((MIN(($S$15),99))/100))+5.0))))*100))/100))*0.96)),(((((MIN(($S14),99))/100))+5.0)/(1-(((MIN(($S14),99))/100))+5.0))))*100))/100))*0.96)),(((((MIN(($S13),99))/100))+5.0)/(1-(((MIN(($S13),99))/100))+5.0))))*100))/100))*0.96)),(((((MIN(($S$12),99))/100))+5.0)/(1-(((MIN(($S$12),99))/100))+5.0))))*100))/100))*0.96)),(((((MIN((S11),99))/100))+5.0)/(1-(((MIN((S11),99))/100))+5.0))))*100))/100))*0.96)),(((((MIN(($S$10),99))/100))+5.0)/(1-(((MIN(($S$10),99))/100))+5.0))))*100))/100))*0.96)),(((((MIN((S$9),99))/100))+5.0)/(1-(((MIN((S$9),99))/100))+5.0))))*100))/100))*0.96)),(((((MIN(($S$8),99))/100))+5.0)/(1-(((MIN(($S$8),99))/100))+5.0))))*100))/100))*0.96)),(((((MIN(($S7),99))/100))+5.0)/(1-(((MIN(($S7),99))/100))+5.0))))*100))/100))*0.96)),(((((MIN((S$6),99))/100))+5.0)/(1-(((MIN((S$6),99))/100))+5.0))))*100))/100))*0.96)),(((((MIN(($S5),99))/100))+5.0)/(1-(((MIN(($S5),99))/100))+5.0))))*100))/100))*0.96)),(((((MIN((S4),99))/100))+5.0)/(1-(((MIN((S4),99))/100))+5.0))))*100),0)</f>
        <v/>
      </c>
      <c r="T2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(86)/100))*0.96)),(((((MIN(($S20),99))/100))+5.0)/(1-(((MIN(($S20),99))/100))+5.0))))*100))/100))*0.96)),(((((MIN((R$20),99))/100))+5.0)/(1-(((MIN((R$20),99))/100))+5.0))))*100))/100))*0.96)),(((((MIN(($Q$20),99))/100))+5.0)/(1-(((MIN(($Q$20),99))/100))+5.0))))*100))/100))*0.96)),(((((MIN((P20),99))/100))+5.0)/(1-(((MIN((P20),99))/100))+5.0))))*100))/100))*0.96)),(((((MIN((O20),99))/100))+5.0)/(1-(((MIN((O20),99))/100))+5.0))))*100))/100))*0.96)),(((((MIN(($N$20),99))/100))+5.0)/(1-(((MIN(($N$20),99))/100))+5.0))))*100))/100))*0.96)),(((((MIN((M$20),99))/100))+5.0)/(1-(((MIN((M$20),99))/100))+5.0))))*100))/100))*0.96)),(((((MIN(($L$20),99))/100))+5.0)/(1-(((MIN(($L$20),99))/100))+5.0))))*100))/100))*0.96)),(((((MIN((T19),99))/100))+5.0)/(1-(((MIN((T19),99))/100))+5.0))))*100))/100))*0.96)),(((((MIN((T18),99))/100))+5.0)/(1-(((MIN((T18),99))/100))+5.0))))*100))/100))*0.96)),(((((MIN(($T17),99))/100))+5.0)/(1-(((MIN(($T17),99))/100))+5.0))))*100))/100))*0.96)),(((((MIN((T16),99))/100))+5.0)/(1-(((MIN((T16),99))/100))+5.0))))*100))/100))*0.96)),(((((MIN(($T15),99))/100))+5.0)/(1-(((MIN(($T15),99))/100))+5.0))))*100))/100))*0.96)),(((((MIN((T14),99))/100))+5.0)/(1-(((MIN((T14),99))/100))+5.0))))*100))/100))*0.96)),(((((MIN((T13),99))/100))+5.0)/(1-(((MIN((T13),99))/100))+5.0))))*100))/100))*0.96)),(((((MIN((T12),99))/100))+5.0)/(1-(((MIN((T12),99))/100))+5.0))))*100))/100))*0.96)),(((((MIN(($T11),99))/100))+5.0)/(1-(((MIN(($T11),99))/100))+5.0))))*100))/100))*0.96)),(((((MIN((T10),99))/100))+5.0)/(1-(((MIN((T10),99))/100))+5.0))))*100))/100))*0.96)),(((((MIN((T$9),99))/100))+5.0)/(1-(((MIN((T$9),99))/100))+5.0))))*100))/100))*0.96)),(((((MIN(($T8),99))/100))+5.0)/(1-(((MIN(($T8),99))/100))+5.0))))*100))/100))*0.96)),(((((MIN(($T$7),99))/100))+5.0)/(1-(((MIN(($T$7),99))/100))+5.0))))*100))/100))*0.96)),(((((MIN(($T6),99))/100))+5.0)/(1-(((MIN(($T6),99))/100))+5.0))))*100))/100))*0.96)),(((((MIN((T$5),99))/100))+5.0)/(1-(((MIN((T$5),99))/100))+5.0))))*100))/100))*0.96)),(((((MIN((T4),99))/100))+5.0)/(1-(((MIN((T4),99))/100))+5.0))))*100),0)</f>
        <v/>
      </c>
    </row>
    <row r="21">
      <c r="A21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(45)/100))*0.96)),(((((MIN((A$20),99))/100))+5.0)/(1-(((MIN((A$20),99))/100))+5.0))))*100))/100))*0.96)),(((((MIN((A$19),99))/100))+5.0)/(1-(((MIN((A$19),99))/100))+5.0))))*100))/100))*0.96)),(((((MIN(($A18),99))/100))+5.0)/(1-(((MIN(($A18),99))/100))+5.0))))*100))/100))*0.96)),(((((MIN((A17),99))/100))+5.0)/(1-(((MIN((A17),99))/100))+5.0))))*100))/100))*0.96)),(((((MIN(($A16),99))/100))+5.0)/(1-(((MIN(($A16),99))/100))+5.0))))*100))/100))*0.96)),(((((MIN(($A15),99))/100))+5.0)/(1-(((MIN(($A15),99))/100))+5.0))))*100))/100))*0.96)),(((((MIN((A14),99))/100))+5.0)/(1-(((MIN((A14),99))/100))+5.0))))*100))/100))*0.96)),(((((MIN(($A13),99))/100))+5.0)/(1-(((MIN(($A13),99))/100))+5.0))))*100))/100))*0.96)),(((((MIN((A$12),99))/100))+5.0)/(1-(((MIN((A$12),99))/100))+5.0))))*100))/100))*0.96)),(((((MIN(($A$11),99))/100))+5.0)/(1-(((MIN(($A$11),99))/100))+5.0))))*100))/100))*0.96)),(((((MIN((A10),99))/100))+5.0)/(1-(((MIN((A10),99))/100))+5.0))))*100))/100))*0.96)),(((((MIN((A$9),99))/100))+5.0)/(1-(((MIN((A$9),99))/100))+5.0))))*100))/100))*0.96)),(((((MIN(($A$8),99))/100))+5.0)/(1-(((MIN(($A$8),99))/100))+5.0))))*100))/100))*0.96)),(((((MIN(($A$7),99))/100))+5.0)/(1-(((MIN(($A$7),99))/100))+5.0))))*100))/100))*0.96)),(((((MIN((A6),99))/100))+5.0)/(1-(((MIN((A6),99))/100))+5.0))))*100))/100))*0.96)),(((((MIN(($A$5),99))/100))+5.0)/(1-(((MIN(($A$5),99))/100))+5.0))))*100),0)</f>
        <v/>
      </c>
      <c r="B21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(95)/100))*0.96)),(((((MIN(($A21),99))/100))+5.0)/(1-(((MIN(($A21),99))/100))+5.0))))*100))/100))*0.96)),(((((MIN(($B20),99))/100))+5.0)/(1-(((MIN(($B20),99))/100))+5.0))))*100))/100))*0.96)),(((((MIN(($B$19),99))/100))+5.0)/(1-(((MIN(($B$19),99))/100))+5.0))))*100))/100))*0.96)),(((((MIN((B18),99))/100))+5.0)/(1-(((MIN((B18),99))/100))+5.0))))*100))/100))*0.96)),(((((MIN((B$17),99))/100))+5.0)/(1-(((MIN((B$17),99))/100))+5.0))))*100))/100))*0.96)),(((((MIN((B16),99))/100))+5.0)/(1-(((MIN((B16),99))/100))+5.0))))*100))/100))*0.96)),(((((MIN((B15),99))/100))+5.0)/(1-(((MIN((B15),99))/100))+5.0))))*100))/100))*0.96)),(((((MIN(($B$14),99))/100))+5.0)/(1-(((MIN(($B$14),99))/100))+5.0))))*100))/100))*0.96)),(((((MIN((B13),99))/100))+5.0)/(1-(((MIN((B13),99))/100))+5.0))))*100))/100))*0.96)),(((((MIN(($B$12),99))/100))+5.0)/(1-(((MIN(($B$12),99))/100))+5.0))))*100))/100))*0.96)),(((((MIN(($B11),99))/100))+5.0)/(1-(((MIN(($B11),99))/100))+5.0))))*100))/100))*0.96)),(((((MIN(($B10),99))/100))+5.0)/(1-(((MIN(($B10),99))/100))+5.0))))*100))/100))*0.96)),(((((MIN(($B9),99))/100))+5.0)/(1-(((MIN(($B9),99))/100))+5.0))))*100))/100))*0.96)),(((((MIN((B$8),99))/100))+5.0)/(1-(((MIN((B$8),99))/100))+5.0))))*100))/100))*0.96)),(((((MIN((B$7),99))/100))+5.0)/(1-(((MIN((B$7),99))/100))+5.0))))*100))/100))*0.96)),(((((MIN(($B$6),99))/100))+5.0)/(1-(((MIN(($B$6),99))/100))+5.0))))*100))/100))*0.96)),(((((MIN((B$5),99))/100))+5.0)/(1-(((MIN((B$5),99))/100))+5.0))))*100),0)</f>
        <v/>
      </c>
      <c r="C21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(71)/100))*0.96)),(((((MIN((B21),99))/100))+5.0)/(1-(((MIN((B21),99))/100))+5.0))))*100))/100))*0.96)),(((((MIN(($A$21),99))/100))+5.0)/(1-(((MIN(($A$21),99))/100))+5.0))))*100))/100))*0.96)),(((((MIN(($C20),99))/100))+5.0)/(1-(((MIN(($C20),99))/100))+5.0))))*100))/100))*0.96)),(((((MIN(($C$19),99))/100))+5.0)/(1-(((MIN(($C$19),99))/100))+5.0))))*100))/100))*0.96)),(((((MIN(($C18),99))/100))+5.0)/(1-(((MIN(($C18),99))/100))+5.0))))*100))/100))*0.96)),(((((MIN((C17),99))/100))+5.0)/(1-(((MIN((C17),99))/100))+5.0))))*100))/100))*0.96)),(((((MIN(($C16),99))/100))+5.0)/(1-(((MIN(($C16),99))/100))+5.0))))*100))/100))*0.96)),(((((MIN(($C$15),99))/100))+5.0)/(1-(((MIN(($C$15),99))/100))+5.0))))*100))/100))*0.96)),(((((MIN(($C$14),99))/100))+5.0)/(1-(((MIN(($C$14),99))/100))+5.0))))*100))/100))*0.96)),(((((MIN(($C13),99))/100))+5.0)/(1-(((MIN(($C13),99))/100))+5.0))))*100))/100))*0.96)),(((((MIN(($C$12),99))/100))+5.0)/(1-(((MIN(($C$12),99))/100))+5.0))))*100))/100))*0.96)),(((((MIN(($C$11),99))/100))+5.0)/(1-(((MIN(($C$11),99))/100))+5.0))))*100))/100))*0.96)),(((((MIN(($C$10),99))/100))+5.0)/(1-(((MIN(($C$10),99))/100))+5.0))))*100))/100))*0.96)),(((((MIN(($C9),99))/100))+5.0)/(1-(((MIN(($C9),99))/100))+5.0))))*100))/100))*0.96)),(((((MIN((C8),99))/100))+5.0)/(1-(((MIN((C8),99))/100))+5.0))))*100))/100))*0.96)),(((((MIN((C$7),99))/100))+5.0)/(1-(((MIN((C$7),99))/100))+5.0))))*100))/100))*0.96)),(((((MIN((C$6),99))/100))+5.0)/(1-(((MIN((C$6),99))/100))+5.0))))*100))/100))*0.96)),(((((MIN(($C5),99))/100))+5.0)/(1-(((MIN(($C5),99))/100))+5.0))))*100),0)</f>
        <v/>
      </c>
      <c r="D21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(77)/100))*0.96)),(((((MIN(($C21),99))/100))+5.0)/(1-(((MIN(($C21),99))/100))+5.0))))*100))/100))*0.96)),(((((MIN(($B21),99))/100))+5.0)/(1-(((MIN(($B21),99))/100))+5.0))))*100))/100))*0.96)),(((((MIN((A$21),99))/100))+5.0)/(1-(((MIN((A$21),99))/100))+5.0))))*100))/100))*0.96)),(((((MIN((D$20),99))/100))+5.0)/(1-(((MIN((D$20),99))/100))+5.0))))*100))/100))*0.96)),(((((MIN((D$19),99))/100))+5.0)/(1-(((MIN((D$19),99))/100))+5.0))))*100))/100))*0.96)),(((((MIN(($D$18),99))/100))+5.0)/(1-(((MIN(($D$18),99))/100))+5.0))))*100))/100))*0.96)),(((((MIN((D17),99))/100))+5.0)/(1-(((MIN((D17),99))/100))+5.0))))*100))/100))*0.96)),(((((MIN(($D$16),99))/100))+5.0)/(1-(((MIN(($D$16),99))/100))+5.0))))*100))/100))*0.96)),(((((MIN((D15),99))/100))+5.0)/(1-(((MIN((D15),99))/100))+5.0))))*100))/100))*0.96)),(((((MIN((D14),99))/100))+5.0)/(1-(((MIN((D14),99))/100))+5.0))))*100))/100))*0.96)),(((((MIN((D$13),99))/100))+5.0)/(1-(((MIN((D$13),99))/100))+5.0))))*100))/100))*0.96)),(((((MIN((D$12),99))/100))+5.0)/(1-(((MIN((D$12),99))/100))+5.0))))*100))/100))*0.96)),(((((MIN((D11),99))/100))+5.0)/(1-(((MIN((D11),99))/100))+5.0))))*100))/100))*0.96)),(((((MIN((D10),99))/100))+5.0)/(1-(((MIN((D10),99))/100))+5.0))))*100))/100))*0.96)),(((((MIN((D9),99))/100))+5.0)/(1-(((MIN((D9),99))/100))+5.0))))*100))/100))*0.96)),(((((MIN(($D8),99))/100))+5.0)/(1-(((MIN(($D8),99))/100))+5.0))))*100))/100))*0.96)),(((((MIN((D$7),99))/100))+5.0)/(1-(((MIN((D$7),99))/100))+5.0))))*100))/100))*0.96)),(((((MIN(($D6),99))/100))+5.0)/(1-(((MIN(($D6),99))/100))+5.0))))*100))/100))*0.96)),(((((MIN(($D5),99))/100))+5.0)/(1-(((MIN(($D5),99))/100))+5.0))))*100),0)</f>
        <v/>
      </c>
      <c r="E21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(6)/100))*0.96)),(((((MIN(($D21),99))/100))+5.0)/(1-(((MIN(($D21),99))/100))+5.0))))*100))/100))*0.96)),(((((MIN((C$21),99))/100))+5.0)/(1-(((MIN((C$21),99))/100))+5.0))))*100))/100))*0.96)),(((((MIN((B$21),99))/100))+5.0)/(1-(((MIN((B$21),99))/100))+5.0))))*100))/100))*0.96)),(((((MIN(($A$21),99))/100))+5.0)/(1-(((MIN(($A$21),99))/100))+5.0))))*100))/100))*0.96)),(((((MIN((E20),99))/100))+5.0)/(1-(((MIN((E20),99))/100))+5.0))))*100))/100))*0.96)),(((((MIN((E$19),99))/100))+5.0)/(1-(((MIN((E$19),99))/100))+5.0))))*100))/100))*0.96)),(((((MIN((E$18),99))/100))+5.0)/(1-(((MIN((E$18),99))/100))+5.0))))*100))/100))*0.96)),(((((MIN((E$17),99))/100))+5.0)/(1-(((MIN((E$17),99))/100))+5.0))))*100))/100))*0.96)),(((((MIN((E$16),99))/100))+5.0)/(1-(((MIN((E$16),99))/100))+5.0))))*100))/100))*0.96)),(((((MIN((E15),99))/100))+5.0)/(1-(((MIN((E15),99))/100))+5.0))))*100))/100))*0.96)),(((((MIN((E14),99))/100))+5.0)/(1-(((MIN((E14),99))/100))+5.0))))*100))/100))*0.96)),(((((MIN((E$13),99))/100))+5.0)/(1-(((MIN((E$13),99))/100))+5.0))))*100))/100))*0.96)),(((((MIN((E$12),99))/100))+5.0)/(1-(((MIN((E$12),99))/100))+5.0))))*100))/100))*0.96)),(((((MIN((E$11),99))/100))+5.0)/(1-(((MIN((E$11),99))/100))+5.0))))*100))/100))*0.96)),(((((MIN((E$10),99))/100))+5.0)/(1-(((MIN((E$10),99))/100))+5.0))))*100))/100))*0.96)),(((((MIN((E9),99))/100))+5.0)/(1-(((MIN((E9),99))/100))+5.0))))*100))/100))*0.96)),(((((MIN(($E8),99))/100))+5.0)/(1-(((MIN(($E8),99))/100))+5.0))))*100))/100))*0.96)),(((((MIN(($E$7),99))/100))+5.0)/(1-(((MIN(($E$7),99))/100))+5.0))))*100))/100))*0.96)),(((((MIN(($E$6),99))/100))+5.0)/(1-(((MIN(($E$6),99))/100))+5.0))))*100))/100))*0.96)),(((((MIN((E$5),99))/100))+5.0)/(1-(((MIN((E$5),99))/100))+5.0))))*100),0)</f>
        <v/>
      </c>
      <c r="F21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(31)/100))*0.96)),(((((MIN((E21),99))/100))+5.0)/(1-(((MIN((E21),99))/100))+5.0))))*100))/100))*0.96)),(((((MIN((D21),99))/100))+5.0)/(1-(((MIN((D21),99))/100))+5.0))))*100))/100))*0.96)),(((((MIN((C$21),99))/100))+5.0)/(1-(((MIN((C$21),99))/100))+5.0))))*100))/100))*0.96)),(((((MIN((B21),99))/100))+5.0)/(1-(((MIN((B21),99))/100))+5.0))))*100))/100))*0.96)),(((((MIN((A21),99))/100))+5.0)/(1-(((MIN((A21),99))/100))+5.0))))*100))/100))*0.96)),(((((MIN((F20),99))/100))+5.0)/(1-(((MIN((F20),99))/100))+5.0))))*100))/100))*0.96)),(((((MIN((F$19),99))/100))+5.0)/(1-(((MIN((F$19),99))/100))+5.0))))*100))/100))*0.96)),(((((MIN((F18),99))/100))+5.0)/(1-(((MIN((F18),99))/100))+5.0))))*100))/100))*0.96)),(((((MIN(($F$17),99))/100))+5.0)/(1-(((MIN(($F$17),99))/100))+5.0))))*100))/100))*0.96)),(((((MIN(($F$16),99))/100))+5.0)/(1-(((MIN(($F$16),99))/100))+5.0))))*100))/100))*0.96)),(((((MIN((F15),99))/100))+5.0)/(1-(((MIN((F15),99))/100))+5.0))))*100))/100))*0.96)),(((((MIN((F14),99))/100))+5.0)/(1-(((MIN((F14),99))/100))+5.0))))*100))/100))*0.96)),(((((MIN((F13),99))/100))+5.0)/(1-(((MIN((F13),99))/100))+5.0))))*100))/100))*0.96)),(((((MIN((F$12),99))/100))+5.0)/(1-(((MIN((F$12),99))/100))+5.0))))*100))/100))*0.96)),(((((MIN((F11),99))/100))+5.0)/(1-(((MIN((F11),99))/100))+5.0))))*100))/100))*0.96)),(((((MIN((F10),99))/100))+5.0)/(1-(((MIN((F10),99))/100))+5.0))))*100))/100))*0.96)),(((((MIN(($F$9),99))/100))+5.0)/(1-(((MIN(($F$9),99))/100))+5.0))))*100))/100))*0.96)),(((((MIN((F8),99))/100))+5.0)/(1-(((MIN((F8),99))/100))+5.0))))*100))/100))*0.96)),(((((MIN(($F7),99))/100))+5.0)/(1-(((MIN(($F7),99))/100))+5.0))))*100))/100))*0.96)),(((((MIN(($F6),99))/100))+5.0)/(1-(((MIN(($F6),99))/100))+5.0))))*100))/100))*0.96)),(((((MIN((F$5),99))/100))+5.0)/(1-(((MIN((F$5),99))/100))+5.0))))*100),0)</f>
        <v/>
      </c>
      <c r="G21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(43)/100))*0.96)),(((((MIN(($F21),99))/100))+5.0)/(1-(((MIN(($F21),99))/100))+5.0))))*100))/100))*0.96)),(((((MIN((E21),99))/100))+5.0)/(1-(((MIN((E21),99))/100))+5.0))))*100))/100))*0.96)),(((((MIN(($D21),99))/100))+5.0)/(1-(((MIN(($D21),99))/100))+5.0))))*100))/100))*0.96)),(((((MIN((C21),99))/100))+5.0)/(1-(((MIN((C21),99))/100))+5.0))))*100))/100))*0.96)),(((((MIN(($B21),99))/100))+5.0)/(1-(((MIN(($B21),99))/100))+5.0))))*100))/100))*0.96)),(((((MIN((A21),99))/100))+5.0)/(1-(((MIN((A21),99))/100))+5.0))))*100))/100))*0.96)),(((((MIN((G$20),99))/100))+5.0)/(1-(((MIN((G$20),99))/100))+5.0))))*100))/100))*0.96)),(((((MIN(($G$19),99))/100))+5.0)/(1-(((MIN(($G$19),99))/100))+5.0))))*100))/100))*0.96)),(((((MIN((G18),99))/100))+5.0)/(1-(((MIN((G18),99))/100))+5.0))))*100))/100))*0.96)),(((((MIN(($G$17),99))/100))+5.0)/(1-(((MIN(($G$17),99))/100))+5.0))))*100))/100))*0.96)),(((((MIN((G16),99))/100))+5.0)/(1-(((MIN((G16),99))/100))+5.0))))*100))/100))*0.96)),(((((MIN(($G15),99))/100))+5.0)/(1-(((MIN(($G15),99))/100))+5.0))))*100))/100))*0.96)),(((((MIN(($G$14),99))/100))+5.0)/(1-(((MIN(($G$14),99))/100))+5.0))))*100))/100))*0.96)),(((((MIN((G13),99))/100))+5.0)/(1-(((MIN((G13),99))/100))+5.0))))*100))/100))*0.96)),(((((MIN((G$12),99))/100))+5.0)/(1-(((MIN((G$12),99))/100))+5.0))))*100))/100))*0.96)),(((((MIN(($G11),99))/100))+5.0)/(1-(((MIN(($G11),99))/100))+5.0))))*100))/100))*0.96)),(((((MIN((G10),99))/100))+5.0)/(1-(((MIN((G10),99))/100))+5.0))))*100))/100))*0.96)),(((((MIN(($G9),99))/100))+5.0)/(1-(((MIN(($G9),99))/100))+5.0))))*100))/100))*0.96)),(((((MIN((G8),99))/100))+5.0)/(1-(((MIN((G8),99))/100))+5.0))))*100))/100))*0.96)),(((((MIN(($G7),99))/100))+5.0)/(1-(((MIN(($G7),99))/100))+5.0))))*100))/100))*0.96)),(((((MIN((G$6),99))/100))+5.0)/(1-(((MIN((G$6),99))/100))+5.0))))*100))/100))*0.96)),(((((MIN((G5),99))/100))+5.0)/(1-(((MIN((G5),99))/100))+5.0))))*100),0)</f>
        <v/>
      </c>
      <c r="H21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(75)/100))*0.96)),(((((MIN(($G21),99))/100))+5.0)/(1-(((MIN(($G21),99))/100))+5.0))))*100))/100))*0.96)),(((((MIN((F21),99))/100))+5.0)/(1-(((MIN((F21),99))/100))+5.0))))*100))/100))*0.96)),(((((MIN(($E$21),99))/100))+5.0)/(1-(((MIN(($E$21),99))/100))+5.0))))*100))/100))*0.96)),(((((MIN((D21),99))/100))+5.0)/(1-(((MIN((D21),99))/100))+5.0))))*100))/100))*0.96)),(((((MIN(($C21),99))/100))+5.0)/(1-(((MIN(($C21),99))/100))+5.0))))*100))/100))*0.96)),(((((MIN(($B$21),99))/100))+5.0)/(1-(((MIN(($B$21),99))/100))+5.0))))*100))/100))*0.96)),(((((MIN((A21),99))/100))+5.0)/(1-(((MIN((A21),99))/100))+5.0))))*100))/100))*0.96)),(((((MIN((H20),99))/100))+5.0)/(1-(((MIN((H20),99))/100))+5.0))))*100))/100))*0.96)),(((((MIN(($H19),99))/100))+5.0)/(1-(((MIN(($H19),99))/100))+5.0))))*100))/100))*0.96)),(((((MIN(($H$18),99))/100))+5.0)/(1-(((MIN(($H$18),99))/100))+5.0))))*100))/100))*0.96)),(((((MIN((H17),99))/100))+5.0)/(1-(((MIN((H17),99))/100))+5.0))))*100))/100))*0.96)),(((((MIN(($H$16),99))/100))+5.0)/(1-(((MIN(($H$16),99))/100))+5.0))))*100))/100))*0.96)),(((((MIN((H15),99))/100))+5.0)/(1-(((MIN((H15),99))/100))+5.0))))*100))/100))*0.96)),(((((MIN(($H$14),99))/100))+5.0)/(1-(((MIN(($H$14),99))/100))+5.0))))*100))/100))*0.96)),(((((MIN((H$13),99))/100))+5.0)/(1-(((MIN((H$13),99))/100))+5.0))))*100))/100))*0.96)),(((((MIN((H12),99))/100))+5.0)/(1-(((MIN((H12),99))/100))+5.0))))*100))/100))*0.96)),(((((MIN((H11),99))/100))+5.0)/(1-(((MIN((H11),99))/100))+5.0))))*100))/100))*0.96)),(((((MIN((H10),99))/100))+5.0)/(1-(((MIN((H10),99))/100))+5.0))))*100))/100))*0.96)),(((((MIN(($H9),99))/100))+5.0)/(1-(((MIN(($H9),99))/100))+5.0))))*100))/100))*0.96)),(((((MIN((H8),99))/100))+5.0)/(1-(((MIN((H8),99))/100))+5.0))))*100))/100))*0.96)),(((((MIN((H7),99))/100))+5.0)/(1-(((MIN((H7),99))/100))+5.0))))*100))/100))*0.96)),(((((MIN((H$6),99))/100))+5.0)/(1-(((MIN((H$6),99))/100))+5.0))))*100))/100))*0.96)),(((((MIN(($H5),99))/100))+5.0)/(1-(((MIN(($H5),99))/100))+5.0))))*100),0)</f>
        <v/>
      </c>
      <c r="I21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(58)/100))*0.96)),(((((MIN((H$21),99))/100))+5.0)/(1-(((MIN((H$21),99))/100))+5.0))))*100))/100))*0.96)),(((((MIN((G$21),99))/100))+5.0)/(1-(((MIN((G$21),99))/100))+5.0))))*100))/100))*0.96)),(((((MIN((F$21),99))/100))+5.0)/(1-(((MIN((F$21),99))/100))+5.0))))*100))/100))*0.96)),(((((MIN((E$21),99))/100))+5.0)/(1-(((MIN((E$21),99))/100))+5.0))))*100))/100))*0.96)),(((((MIN((D$21),99))/100))+5.0)/(1-(((MIN((D$21),99))/100))+5.0))))*100))/100))*0.96)),(((((MIN(($C21),99))/100))+5.0)/(1-(((MIN(($C21),99))/100))+5.0))))*100))/100))*0.96)),(((((MIN(($B$21),99))/100))+5.0)/(1-(((MIN(($B$21),99))/100))+5.0))))*100))/100))*0.96)),(((((MIN(($A$21),99))/100))+5.0)/(1-(((MIN(($A$21),99))/100))+5.0))))*100))/100))*0.96)),(((((MIN((I20),99))/100))+5.0)/(1-(((MIN((I20),99))/100))+5.0))))*100))/100))*0.96)),(((((MIN(($I19),99))/100))+5.0)/(1-(((MIN(($I19),99))/100))+5.0))))*100))/100))*0.96)),(((((MIN(($I$18),99))/100))+5.0)/(1-(((MIN(($I$18),99))/100))+5.0))))*100))/100))*0.96)),(((((MIN((I17),99))/100))+5.0)/(1-(((MIN((I17),99))/100))+5.0))))*100))/100))*0.96)),(((((MIN((I16),99))/100))+5.0)/(1-(((MIN((I16),99))/100))+5.0))))*100))/100))*0.96)),(((((MIN((I$15),99))/100))+5.0)/(1-(((MIN((I$15),99))/100))+5.0))))*100))/100))*0.96)),(((((MIN((I14),99))/100))+5.0)/(1-(((MIN((I14),99))/100))+5.0))))*100))/100))*0.96)),(((((MIN(($I$13),99))/100))+5.0)/(1-(((MIN(($I$13),99))/100))+5.0))))*100))/100))*0.96)),(((((MIN((I12),99))/100))+5.0)/(1-(((MIN((I12),99))/100))+5.0))))*100))/100))*0.96)),(((((MIN((I11),99))/100))+5.0)/(1-(((MIN((I11),99))/100))+5.0))))*100))/100))*0.96)),(((((MIN(($I$10),99))/100))+5.0)/(1-(((MIN(($I$10),99))/100))+5.0))))*100))/100))*0.96)),(((((MIN((I9),99))/100))+5.0)/(1-(((MIN((I9),99))/100))+5.0))))*100))/100))*0.96)),(((((MIN((I8),99))/100))+5.0)/(1-(((MIN((I8),99))/100))+5.0))))*100))/100))*0.96)),(((((MIN(($I7),99))/100))+5.0)/(1-(((MIN(($I7),99))/100))+5.0))))*100))/100))*0.96)),(((((MIN(($I$6),99))/100))+5.0)/(1-(((MIN(($I$6),99))/100))+5.0))))*100))/100))*0.96)),(((((MIN(($I$5),99))/100))+5.0)/(1-(((MIN(($I$5),99))/100))+5.0))))*100),0)</f>
        <v/>
      </c>
      <c r="J21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(18)/100))*0.96)),(((((MIN((I$21),99))/100))+5.0)/(1-(((MIN((I$21),99))/100))+5.0))))*100))/100))*0.96)),(((((MIN((H$21),99))/100))+5.0)/(1-(((MIN((H$21),99))/100))+5.0))))*100))/100))*0.96)),(((((MIN(($G21),99))/100))+5.0)/(1-(((MIN(($G21),99))/100))+5.0))))*100))/100))*0.96)),(((((MIN(($F$21),99))/100))+5.0)/(1-(((MIN(($F$21),99))/100))+5.0))))*100))/100))*0.96)),(((((MIN((E21),99))/100))+5.0)/(1-(((MIN((E21),99))/100))+5.0))))*100))/100))*0.96)),(((((MIN(($D$21),99))/100))+5.0)/(1-(((MIN(($D$21),99))/100))+5.0))))*100))/100))*0.96)),(((((MIN((C$21),99))/100))+5.0)/(1-(((MIN((C$21),99))/100))+5.0))))*100))/100))*0.96)),(((((MIN(($B21),99))/100))+5.0)/(1-(((MIN(($B21),99))/100))+5.0))))*100))/100))*0.96)),(((((MIN((J$20),99))/100))+5.0)/(1-(((MIN((J$20),99))/100))+5.0))))*100))/100))*0.96)),(((((MIN((J19),99))/100))+5.0)/(1-(((MIN((J19),99))/100))+5.0))))*100))/100))*0.96)),(((((MIN(($J18),99))/100))+5.0)/(1-(((MIN(($J18),99))/100))+5.0))))*100))/100))*0.96)),(((((MIN(($J$17),99))/100))+5.0)/(1-(((MIN(($J$17),99))/100))+5.0))))*100))/100))*0.96)),(((((MIN((J16),99))/100))+5.0)/(1-(((MIN((J16),99))/100))+5.0))))*100))/100))*0.96)),(((((MIN((J15),99))/100))+5.0)/(1-(((MIN((J15),99))/100))+5.0))))*100))/100))*0.96)),(((((MIN((J$14),99))/100))+5.0)/(1-(((MIN((J$14),99))/100))+5.0))))*100))/100))*0.96)),(((((MIN((J13),99))/100))+5.0)/(1-(((MIN((J13),99))/100))+5.0))))*100))/100))*0.96)),(((((MIN((J12),99))/100))+5.0)/(1-(((MIN((J12),99))/100))+5.0))))*100))/100))*0.96)),(((((MIN((J$11),99))/100))+5.0)/(1-(((MIN((J$11),99))/100))+5.0))))*100))/100))*0.96)),(((((MIN((J$10),99))/100))+5.0)/(1-(((MIN((J$10),99))/100))+5.0))))*100))/100))*0.96)),(((((MIN((J9),99))/100))+5.0)/(1-(((MIN((J9),99))/100))+5.0))))*100))/100))*0.96)),(((((MIN(($J$8),99))/100))+5.0)/(1-(((MIN(($J$8),99))/100))+5.0))))*100))/100))*0.96)),(((((MIN(($J$7),99))/100))+5.0)/(1-(((MIN(($J$7),99))/100))+5.0))))*100))/100))*0.96)),(((((MIN((J$6),99))/100))+5.0)/(1-(((MIN((J$6),99))/100))+5.0))))*100))/100))*0.96)),(((((MIN(($J5),99))/100))+5.0)/(1-(((MIN(($J5),99))/100))+5.0))))*100),0)</f>
        <v/>
      </c>
      <c r="K21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(61)/100))*0.96)),(((((MIN(($J21),99))/100))+5.0)/(1-(((MIN(($J21),99))/100))+5.0))))*100))/100))*0.96)),(((((MIN(($I21),99))/100))+5.0)/(1-(((MIN(($I21),99))/100))+5.0))))*100))/100))*0.96)),(((((MIN(($H21),99))/100))+5.0)/(1-(((MIN(($H21),99))/100))+5.0))))*100))/100))*0.96)),(((((MIN((G$21),99))/100))+5.0)/(1-(((MIN((G$21),99))/100))+5.0))))*100))/100))*0.96)),(((((MIN((F$21),99))/100))+5.0)/(1-(((MIN((F$21),99))/100))+5.0))))*100))/100))*0.96)),(((((MIN(($E$21),99))/100))+5.0)/(1-(((MIN(($E$21),99))/100))+5.0))))*100))/100))*0.96)),(((((MIN((D21),99))/100))+5.0)/(1-(((MIN((D21),99))/100))+5.0))))*100))/100))*0.96)),(((((MIN(($C21),99))/100))+5.0)/(1-(((MIN(($C21),99))/100))+5.0))))*100))/100))*0.96)),(((((MIN(($K20),99))/100))+5.0)/(1-(((MIN(($K20),99))/100))+5.0))))*100))/100))*0.96)),(((((MIN((K$19),99))/100))+5.0)/(1-(((MIN((K$19),99))/100))+5.0))))*100))/100))*0.96)),(((((MIN(($K$18),99))/100))+5.0)/(1-(((MIN(($K$18),99))/100))+5.0))))*100))/100))*0.96)),(((((MIN((K$17),99))/100))+5.0)/(1-(((MIN((K$17),99))/100))+5.0))))*100))/100))*0.96)),(((((MIN((K16),99))/100))+5.0)/(1-(((MIN((K16),99))/100))+5.0))))*100))/100))*0.96)),(((((MIN(($K15),99))/100))+5.0)/(1-(((MIN(($K15),99))/100))+5.0))))*100))/100))*0.96)),(((((MIN((K$14),99))/100))+5.0)/(1-(((MIN((K$14),99))/100))+5.0))))*100))/100))*0.96)),(((((MIN((K13),99))/100))+5.0)/(1-(((MIN((K13),99))/100))+5.0))))*100))/100))*0.96)),(((((MIN((K12),99))/100))+5.0)/(1-(((MIN((K12),99))/100))+5.0))))*100))/100))*0.96)),(((((MIN(($K11),99))/100))+5.0)/(1-(((MIN(($K11),99))/100))+5.0))))*100))/100))*0.96)),(((((MIN(($K10),99))/100))+5.0)/(1-(((MIN(($K10),99))/100))+5.0))))*100))/100))*0.96)),(((((MIN(($K$9),99))/100))+5.0)/(1-(((MIN(($K$9),99))/100))+5.0))))*100))/100))*0.96)),(((((MIN((K8),99))/100))+5.0)/(1-(((MIN((K8),99))/100))+5.0))))*100))/100))*0.96)),(((((MIN(($K7),99))/100))+5.0)/(1-(((MIN(($K7),99))/100))+5.0))))*100))/100))*0.96)),(((((MIN((K$6),99))/100))+5.0)/(1-(((MIN((K$6),99))/100))+5.0))))*100))/100))*0.96)),(((((MIN((K5),99))/100))+5.0)/(1-(((MIN((K5),99))/100))+5.0))))*100),0)</f>
        <v/>
      </c>
      <c r="L21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(68)/100))*0.96)),(((((MIN(($K21),99))/100))+5.0)/(1-(((MIN(($K21),99))/100))+5.0))))*100))/100))*0.96)),(((((MIN(($J$21),99))/100))+5.0)/(1-(((MIN(($J$21),99))/100))+5.0))))*100))/100))*0.96)),(((((MIN((I21),99))/100))+5.0)/(1-(((MIN((I21),99))/100))+5.0))))*100))/100))*0.96)),(((((MIN(($H$21),99))/100))+5.0)/(1-(((MIN(($H$21),99))/100))+5.0))))*100))/100))*0.96)),(((((MIN(($G$21),99))/100))+5.0)/(1-(((MIN(($G$21),99))/100))+5.0))))*100))/100))*0.96)),(((((MIN((F21),99))/100))+5.0)/(1-(((MIN((F21),99))/100))+5.0))))*100))/100))*0.96)),(((((MIN(($E$21),99))/100))+5.0)/(1-(((MIN(($E$21),99))/100))+5.0))))*100))/100))*0.96)),(((((MIN((D21),99))/100))+5.0)/(1-(((MIN((D21),99))/100))+5.0))))*100))/100))*0.96)),(((((MIN(($L$20),99))/100))+5.0)/(1-(((MIN(($L$20),99))/100))+5.0))))*100))/100))*0.96)),(((((MIN((L19),99))/100))+5.0)/(1-(((MIN((L19),99))/100))+5.0))))*100))/100))*0.96)),(((((MIN(($L$18),99))/100))+5.0)/(1-(((MIN(($L$18),99))/100))+5.0))))*100))/100))*0.96)),(((((MIN(($L$17),99))/100))+5.0)/(1-(((MIN(($L$17),99))/100))+5.0))))*100))/100))*0.96)),(((((MIN((L$16),99))/100))+5.0)/(1-(((MIN((L$16),99))/100))+5.0))))*100))/100))*0.96)),(((((MIN((L$15),99))/100))+5.0)/(1-(((MIN((L$15),99))/100))+5.0))))*100))/100))*0.96)),(((((MIN(($L14),99))/100))+5.0)/(1-(((MIN(($L14),99))/100))+5.0))))*100))/100))*0.96)),(((((MIN((L13),99))/100))+5.0)/(1-(((MIN((L13),99))/100))+5.0))))*100))/100))*0.96)),(((((MIN((L12),99))/100))+5.0)/(1-(((MIN((L12),99))/100))+5.0))))*100))/100))*0.96)),(((((MIN(($L$11),99))/100))+5.0)/(1-(((MIN(($L$11),99))/100))+5.0))))*100))/100))*0.96)),(((((MIN((L10),99))/100))+5.0)/(1-(((MIN((L10),99))/100))+5.0))))*100))/100))*0.96)),(((((MIN((L9),99))/100))+5.0)/(1-(((MIN((L9),99))/100))+5.0))))*100))/100))*0.96)),(((((MIN((L$8),99))/100))+5.0)/(1-(((MIN((L$8),99))/100))+5.0))))*100))/100))*0.96)),(((((MIN(($L$7),99))/100))+5.0)/(1-(((MIN(($L$7),99))/100))+5.0))))*100))/100))*0.96)),(((((MIN((L6),99))/100))+5.0)/(1-(((MIN((L6),99))/100))+5.0))))*100))/100))*0.96)),(((((MIN((L$5),99))/100))+5.0)/(1-(((MIN((L$5),99))/100))+5.0))))*100),0)</f>
        <v/>
      </c>
      <c r="M21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(70)/100))*0.96)),(((((MIN(($L$21),99))/100))+5.0)/(1-(((MIN(($L$21),99))/100))+5.0))))*100))/100))*0.96)),(((((MIN((K21),99))/100))+5.0)/(1-(((MIN((K21),99))/100))+5.0))))*100))/100))*0.96)),(((((MIN((J21),99))/100))+5.0)/(1-(((MIN((J21),99))/100))+5.0))))*100))/100))*0.96)),(((((MIN((I$21),99))/100))+5.0)/(1-(((MIN((I$21),99))/100))+5.0))))*100))/100))*0.96)),(((((MIN(($H21),99))/100))+5.0)/(1-(((MIN(($H21),99))/100))+5.0))))*100))/100))*0.96)),(((((MIN(($G21),99))/100))+5.0)/(1-(((MIN(($G21),99))/100))+5.0))))*100))/100))*0.96)),(((((MIN((F$21),99))/100))+5.0)/(1-(((MIN((F$21),99))/100))+5.0))))*100))/100))*0.96)),(((((MIN((E$21),99))/100))+5.0)/(1-(((MIN((E$21),99))/100))+5.0))))*100))/100))*0.96)),(((((MIN(($M20),99))/100))+5.0)/(1-(((MIN(($M20),99))/100))+5.0))))*100))/100))*0.96)),(((((MIN(($M$19),99))/100))+5.0)/(1-(((MIN(($M$19),99))/100))+5.0))))*100))/100))*0.96)),(((((MIN(($M$18),99))/100))+5.0)/(1-(((MIN(($M$18),99))/100))+5.0))))*100))/100))*0.96)),(((((MIN((M17),99))/100))+5.0)/(1-(((MIN((M17),99))/100))+5.0))))*100))/100))*0.96)),(((((MIN(($M$16),99))/100))+5.0)/(1-(((MIN(($M$16),99))/100))+5.0))))*100))/100))*0.96)),(((((MIN(($M$15),99))/100))+5.0)/(1-(((MIN(($M$15),99))/100))+5.0))))*100))/100))*0.96)),(((((MIN(($M14),99))/100))+5.0)/(1-(((MIN(($M14),99))/100))+5.0))))*100))/100))*0.96)),(((((MIN((M13),99))/100))+5.0)/(1-(((MIN((M13),99))/100))+5.0))))*100))/100))*0.96)),(((((MIN((M$12),99))/100))+5.0)/(1-(((MIN((M$12),99))/100))+5.0))))*100))/100))*0.96)),(((((MIN((M$11),99))/100))+5.0)/(1-(((MIN((M$11),99))/100))+5.0))))*100))/100))*0.96)),(((((MIN((M$10),99))/100))+5.0)/(1-(((MIN((M$10),99))/100))+5.0))))*100))/100))*0.96)),(((((MIN((M$9),99))/100))+5.0)/(1-(((MIN((M$9),99))/100))+5.0))))*100))/100))*0.96)),(((((MIN(($M$8),99))/100))+5.0)/(1-(((MIN(($M$8),99))/100))+5.0))))*100))/100))*0.96)),(((((MIN((M7),99))/100))+5.0)/(1-(((MIN((M7),99))/100))+5.0))))*100))/100))*0.96)),(((((MIN(($M$6),99))/100))+5.0)/(1-(((MIN(($M$6),99))/100))+5.0))))*100))/100))*0.96)),(((((MIN(($M$5),99))/100))+5.0)/(1-(((MIN(($M$5),99))/100))+5.0))))*100),0)</f>
        <v/>
      </c>
      <c r="N21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(34)/100))*0.96)),(((((MIN(($M21),99))/100))+5.0)/(1-(((MIN(($M21),99))/100))+5.0))))*100))/100))*0.96)),(((((MIN(($L$21),99))/100))+5.0)/(1-(((MIN(($L$21),99))/100))+5.0))))*100))/100))*0.96)),(((((MIN((K21),99))/100))+5.0)/(1-(((MIN((K21),99))/100))+5.0))))*100))/100))*0.96)),(((((MIN(($J$21),99))/100))+5.0)/(1-(((MIN(($J$21),99))/100))+5.0))))*100))/100))*0.96)),(((((MIN(($I$21),99))/100))+5.0)/(1-(((MIN(($I$21),99))/100))+5.0))))*100))/100))*0.96)),(((((MIN((H21),99))/100))+5.0)/(1-(((MIN((H21),99))/100))+5.0))))*100))/100))*0.96)),(((((MIN(($G21),99))/100))+5.0)/(1-(((MIN(($G21),99))/100))+5.0))))*100))/100))*0.96)),(((((MIN(($F21),99))/100))+5.0)/(1-(((MIN(($F21),99))/100))+5.0))))*100))/100))*0.96)),(((((MIN(($N$20),99))/100))+5.0)/(1-(((MIN(($N$20),99))/100))+5.0))))*100))/100))*0.96)),(((((MIN(($N$19),99))/100))+5.0)/(1-(((MIN(($N$19),99))/100))+5.0))))*100))/100))*0.96)),(((((MIN(($N$18),99))/100))+5.0)/(1-(((MIN(($N$18),99))/100))+5.0))))*100))/100))*0.96)),(((((MIN(($N17),99))/100))+5.0)/(1-(((MIN(($N17),99))/100))+5.0))))*100))/100))*0.96)),(((((MIN((N16),99))/100))+5.0)/(1-(((MIN((N16),99))/100))+5.0))))*100))/100))*0.96)),(((((MIN(($N$15),99))/100))+5.0)/(1-(((MIN(($N$15),99))/100))+5.0))))*100))/100))*0.96)),(((((MIN((N14),99))/100))+5.0)/(1-(((MIN((N14),99))/100))+5.0))))*100))/100))*0.96)),(((((MIN((N13),99))/100))+5.0)/(1-(((MIN((N13),99))/100))+5.0))))*100))/100))*0.96)),(((((MIN(($N$12),99))/100))+5.0)/(1-(((MIN(($N$12),99))/100))+5.0))))*100))/100))*0.96)),(((((MIN(($N11),99))/100))+5.0)/(1-(((MIN(($N11),99))/100))+5.0))))*100))/100))*0.96)),(((((MIN((N10),99))/100))+5.0)/(1-(((MIN((N10),99))/100))+5.0))))*100))/100))*0.96)),(((((MIN((N$9),99))/100))+5.0)/(1-(((MIN((N$9),99))/100))+5.0))))*100))/100))*0.96)),(((((MIN(($N$8),99))/100))+5.0)/(1-(((MIN(($N$8),99))/100))+5.0))))*100))/100))*0.96)),(((((MIN((N7),99))/100))+5.0)/(1-(((MIN((N7),99))/100))+5.0))))*100))/100))*0.96)),(((((MIN((N6),99))/100))+5.0)/(1-(((MIN((N6),99))/100))+5.0))))*100))/100))*0.96)),(((((MIN((N5),99))/100))+5.0)/(1-(((MIN((N5),99))/100))+5.0))))*100),0)</f>
        <v/>
      </c>
      <c r="O21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(69)/100))*0.96)),(((((MIN((N$21),99))/100))+5.0)/(1-(((MIN((N$21),99))/100))+5.0))))*100))/100))*0.96)),(((((MIN(($M21),99))/100))+5.0)/(1-(((MIN(($M21),99))/100))+5.0))))*100))/100))*0.96)),(((((MIN((L$21),99))/100))+5.0)/(1-(((MIN((L$21),99))/100))+5.0))))*100))/100))*0.96)),(((((MIN(($K21),99))/100))+5.0)/(1-(((MIN(($K21),99))/100))+5.0))))*100))/100))*0.96)),(((((MIN(($J21),99))/100))+5.0)/(1-(((MIN(($J21),99))/100))+5.0))))*100))/100))*0.96)),(((((MIN((I$21),99))/100))+5.0)/(1-(((MIN((I$21),99))/100))+5.0))))*100))/100))*0.96)),(((((MIN((H$21),99))/100))+5.0)/(1-(((MIN((H$21),99))/100))+5.0))))*100))/100))*0.96)),(((((MIN(($G$21),99))/100))+5.0)/(1-(((MIN(($G$21),99))/100))+5.0))))*100))/100))*0.96)),(((((MIN(($O$20),99))/100))+5.0)/(1-(((MIN(($O$20),99))/100))+5.0))))*100))/100))*0.96)),(((((MIN(($O$19),99))/100))+5.0)/(1-(((MIN(($O$19),99))/100))+5.0))))*100))/100))*0.96)),(((((MIN((O$18),99))/100))+5.0)/(1-(((MIN((O$18),99))/100))+5.0))))*100))/100))*0.96)),(((((MIN((O$17),99))/100))+5.0)/(1-(((MIN((O$17),99))/100))+5.0))))*100))/100))*0.96)),(((((MIN((O16),99))/100))+5.0)/(1-(((MIN((O16),99))/100))+5.0))))*100))/100))*0.96)),(((((MIN(($O15),99))/100))+5.0)/(1-(((MIN(($O15),99))/100))+5.0))))*100))/100))*0.96)),(((((MIN(($O14),99))/100))+5.0)/(1-(((MIN(($O14),99))/100))+5.0))))*100))/100))*0.96)),(((((MIN((O$13),99))/100))+5.0)/(1-(((MIN((O$13),99))/100))+5.0))))*100))/100))*0.96)),(((((MIN(($O12),99))/100))+5.0)/(1-(((MIN(($O12),99))/100))+5.0))))*100))/100))*0.96)),(((((MIN((O$11),99))/100))+5.0)/(1-(((MIN((O$11),99))/100))+5.0))))*100))/100))*0.96)),(((((MIN(($O10),99))/100))+5.0)/(1-(((MIN(($O10),99))/100))+5.0))))*100))/100))*0.96)),(((((MIN((O9),99))/100))+5.0)/(1-(((MIN((O9),99))/100))+5.0))))*100))/100))*0.96)),(((((MIN(($O$8),99))/100))+5.0)/(1-(((MIN(($O$8),99))/100))+5.0))))*100))/100))*0.96)),(((((MIN((O$7),99))/100))+5.0)/(1-(((MIN((O$7),99))/100))+5.0))))*100))/100))*0.96)),(((((MIN(($O$6),99))/100))+5.0)/(1-(((MIN(($O$6),99))/100))+5.0))))*100))/100))*0.96)),(((((MIN(($O$5),99))/100))+5.0)/(1-(((MIN(($O$5),99))/100))+5.0))))*100),0)</f>
        <v/>
      </c>
      <c r="P21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(72)/100))*0.96)),(((((MIN((O21),99))/100))+5.0)/(1-(((MIN((O21),99))/100))+5.0))))*100))/100))*0.96)),(((((MIN(($N21),99))/100))+5.0)/(1-(((MIN(($N21),99))/100))+5.0))))*100))/100))*0.96)),(((((MIN(($M$21),99))/100))+5.0)/(1-(((MIN(($M$21),99))/100))+5.0))))*100))/100))*0.96)),(((((MIN(($L$21),99))/100))+5.0)/(1-(((MIN(($L$21),99))/100))+5.0))))*100))/100))*0.96)),(((((MIN((K$21),99))/100))+5.0)/(1-(((MIN((K$21),99))/100))+5.0))))*100))/100))*0.96)),(((((MIN((J$21),99))/100))+5.0)/(1-(((MIN((J$21),99))/100))+5.0))))*100))/100))*0.96)),(((((MIN((I21),99))/100))+5.0)/(1-(((MIN((I21),99))/100))+5.0))))*100))/100))*0.96)),(((((MIN((H$21),99))/100))+5.0)/(1-(((MIN((H$21),99))/100))+5.0))))*100))/100))*0.96)),(((((MIN(($P20),99))/100))+5.0)/(1-(((MIN(($P20),99))/100))+5.0))))*100))/100))*0.96)),(((((MIN(($P$19),99))/100))+5.0)/(1-(((MIN(($P$19),99))/100))+5.0))))*100))/100))*0.96)),(((((MIN((P18),99))/100))+5.0)/(1-(((MIN((P18),99))/100))+5.0))))*100))/100))*0.96)),(((((MIN(($P17),99))/100))+5.0)/(1-(((MIN(($P17),99))/100))+5.0))))*100))/100))*0.96)),(((((MIN(($P16),99))/100))+5.0)/(1-(((MIN(($P16),99))/100))+5.0))))*100))/100))*0.96)),(((((MIN((P$15),99))/100))+5.0)/(1-(((MIN((P$15),99))/100))+5.0))))*100))/100))*0.96)),(((((MIN(($P$14),99))/100))+5.0)/(1-(((MIN(($P$14),99))/100))+5.0))))*100))/100))*0.96)),(((((MIN(($P$13),99))/100))+5.0)/(1-(((MIN(($P$13),99))/100))+5.0))))*100))/100))*0.96)),(((((MIN((P12),99))/100))+5.0)/(1-(((MIN((P12),99))/100))+5.0))))*100))/100))*0.96)),(((((MIN((P11),99))/100))+5.0)/(1-(((MIN((P11),99))/100))+5.0))))*100))/100))*0.96)),(((((MIN(($P10),99))/100))+5.0)/(1-(((MIN(($P10),99))/100))+5.0))))*100))/100))*0.96)),(((((MIN((P9),99))/100))+5.0)/(1-(((MIN((P9),99))/100))+5.0))))*100))/100))*0.96)),(((((MIN(($P8),99))/100))+5.0)/(1-(((MIN(($P8),99))/100))+5.0))))*100))/100))*0.96)),(((((MIN((P7),99))/100))+5.0)/(1-(((MIN((P7),99))/100))+5.0))))*100))/100))*0.96)),(((((MIN((P$6),99))/100))+5.0)/(1-(((MIN((P$6),99))/100))+5.0))))*100))/100))*0.96)),(((((MIN(($P5),99))/100))+5.0)/(1-(((MIN(($P5),99))/100))+5.0))))*100),0)</f>
        <v/>
      </c>
      <c r="Q21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(68)/100))*0.96)),(((((MIN(($P21),99))/100))+5.0)/(1-(((MIN(($P21),99))/100))+5.0))))*100))/100))*0.96)),(((((MIN(($O$21),99))/100))+5.0)/(1-(((MIN(($O$21),99))/100))+5.0))))*100))/100))*0.96)),(((((MIN((N21),99))/100))+5.0)/(1-(((MIN((N21),99))/100))+5.0))))*100))/100))*0.96)),(((((MIN(($M$21),99))/100))+5.0)/(1-(((MIN(($M$21),99))/100))+5.0))))*100))/100))*0.96)),(((((MIN(($L$21),99))/100))+5.0)/(1-(((MIN(($L$21),99))/100))+5.0))))*100))/100))*0.96)),(((((MIN(($K$21),99))/100))+5.0)/(1-(((MIN(($K$21),99))/100))+5.0))))*100))/100))*0.96)),(((((MIN(($J$21),99))/100))+5.0)/(1-(((MIN(($J$21),99))/100))+5.0))))*100))/100))*0.96)),(((((MIN(($I$21),99))/100))+5.0)/(1-(((MIN(($I$21),99))/100))+5.0))))*100))/100))*0.96)),(((((MIN((Q20),99))/100))+5.0)/(1-(((MIN((Q20),99))/100))+5.0))))*100))/100))*0.96)),(((((MIN((Q$19),99))/100))+5.0)/(1-(((MIN((Q$19),99))/100))+5.0))))*100))/100))*0.96)),(((((MIN((Q18),99))/100))+5.0)/(1-(((MIN((Q18),99))/100))+5.0))))*100))/100))*0.96)),(((((MIN(($Q17),99))/100))+5.0)/(1-(((MIN(($Q17),99))/100))+5.0))))*100))/100))*0.96)),(((((MIN((Q16),99))/100))+5.0)/(1-(((MIN((Q16),99))/100))+5.0))))*100))/100))*0.96)),(((((MIN((Q15),99))/100))+5.0)/(1-(((MIN((Q15),99))/100))+5.0))))*100))/100))*0.96)),(((((MIN(($Q$14),99))/100))+5.0)/(1-(((MIN(($Q$14),99))/100))+5.0))))*100))/100))*0.96)),(((((MIN((Q13),99))/100))+5.0)/(1-(((MIN((Q13),99))/100))+5.0))))*100))/100))*0.96)),(((((MIN((Q12),99))/100))+5.0)/(1-(((MIN((Q12),99))/100))+5.0))))*100))/100))*0.96)),(((((MIN((Q11),99))/100))+5.0)/(1-(((MIN((Q11),99))/100))+5.0))))*100))/100))*0.96)),(((((MIN(($Q$10),99))/100))+5.0)/(1-(((MIN(($Q$10),99))/100))+5.0))))*100))/100))*0.96)),(((((MIN((Q9),99))/100))+5.0)/(1-(((MIN((Q9),99))/100))+5.0))))*100))/100))*0.96)),(((((MIN(($Q$8),99))/100))+5.0)/(1-(((MIN(($Q$8),99))/100))+5.0))))*100))/100))*0.96)),(((((MIN((Q$7),99))/100))+5.0)/(1-(((MIN((Q$7),99))/100))+5.0))))*100))/100))*0.96)),(((((MIN((Q$6),99))/100))+5.0)/(1-(((MIN((Q$6),99))/100))+5.0))))*100))/100))*0.96)),(((((MIN((Q$5),99))/100))+5.0)/(1-(((MIN((Q$5),99))/100))+5.0))))*100),0)</f>
        <v/>
      </c>
      <c r="R21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(87)/100))*0.96)),(((((MIN(($Q21),99))/100))+5.0)/(1-(((MIN(($Q21),99))/100))+5.0))))*100))/100))*0.96)),(((((MIN(($P21),99))/100))+5.0)/(1-(((MIN(($P21),99))/100))+5.0))))*100))/100))*0.96)),(((((MIN(($O$21),99))/100))+5.0)/(1-(((MIN(($O$21),99))/100))+5.0))))*100))/100))*0.96)),(((((MIN(($N$21),99))/100))+5.0)/(1-(((MIN(($N$21),99))/100))+5.0))))*100))/100))*0.96)),(((((MIN(($M$21),99))/100))+5.0)/(1-(((MIN(($M$21),99))/100))+5.0))))*100))/100))*0.96)),(((((MIN(($L$21),99))/100))+5.0)/(1-(((MIN(($L$21),99))/100))+5.0))))*100))/100))*0.96)),(((((MIN((K21),99))/100))+5.0)/(1-(((MIN((K21),99))/100))+5.0))))*100))/100))*0.96)),(((((MIN((J$21),99))/100))+5.0)/(1-(((MIN((J$21),99))/100))+5.0))))*100))/100))*0.96)),(((((MIN(($R$20),99))/100))+5.0)/(1-(((MIN(($R$20),99))/100))+5.0))))*100))/100))*0.96)),(((((MIN(($R19),99))/100))+5.0)/(1-(((MIN(($R19),99))/100))+5.0))))*100))/100))*0.96)),(((((MIN(($R18),99))/100))+5.0)/(1-(((MIN(($R18),99))/100))+5.0))))*100))/100))*0.96)),(((((MIN((R17),99))/100))+5.0)/(1-(((MIN((R17),99))/100))+5.0))))*100))/100))*0.96)),(((((MIN(($R$16),99))/100))+5.0)/(1-(((MIN(($R$16),99))/100))+5.0))))*100))/100))*0.96)),(((((MIN((R$15),99))/100))+5.0)/(1-(((MIN((R$15),99))/100))+5.0))))*100))/100))*0.96)),(((((MIN(($R$14),99))/100))+5.0)/(1-(((MIN(($R$14),99))/100))+5.0))))*100))/100))*0.96)),(((((MIN((R13),99))/100))+5.0)/(1-(((MIN((R13),99))/100))+5.0))))*100))/100))*0.96)),(((((MIN(($R$12),99))/100))+5.0)/(1-(((MIN(($R$12),99))/100))+5.0))))*100))/100))*0.96)),(((((MIN((R$11),99))/100))+5.0)/(1-(((MIN((R$11),99))/100))+5.0))))*100))/100))*0.96)),(((((MIN((R$10),99))/100))+5.0)/(1-(((MIN((R$10),99))/100))+5.0))))*100))/100))*0.96)),(((((MIN(($R9),99))/100))+5.0)/(1-(((MIN(($R9),99))/100))+5.0))))*100))/100))*0.96)),(((((MIN((R$8),99))/100))+5.0)/(1-(((MIN((R$8),99))/100))+5.0))))*100))/100))*0.96)),(((((MIN(($R$7),99))/100))+5.0)/(1-(((MIN(($R$7),99))/100))+5.0))))*100))/100))*0.96)),(((((MIN(($R$6),99))/100))+5.0)/(1-(((MIN(($R$6),99))/100))+5.0))))*100))/100))*0.96)),(((((MIN(($R5),99))/100))+5.0)/(1-(((MIN(($R5),99))/100))+5.0))))*100),0)</f>
        <v/>
      </c>
      <c r="S21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(37)/100))*0.96)),(((((MIN((R$21),99))/100))+5.0)/(1-(((MIN((R$21),99))/100))+5.0))))*100))/100))*0.96)),(((((MIN(($Q21),99))/100))+5.0)/(1-(((MIN(($Q21),99))/100))+5.0))))*100))/100))*0.96)),(((((MIN(($P21),99))/100))+5.0)/(1-(((MIN(($P21),99))/100))+5.0))))*100))/100))*0.96)),(((((MIN((O$21),99))/100))+5.0)/(1-(((MIN((O$21),99))/100))+5.0))))*100))/100))*0.96)),(((((MIN(($N$21),99))/100))+5.0)/(1-(((MIN(($N$21),99))/100))+5.0))))*100))/100))*0.96)),(((((MIN((M$21),99))/100))+5.0)/(1-(((MIN((M$21),99))/100))+5.0))))*100))/100))*0.96)),(((((MIN(($L21),99))/100))+5.0)/(1-(((MIN(($L21),99))/100))+5.0))))*100))/100))*0.96)),(((((MIN(($K21),99))/100))+5.0)/(1-(((MIN(($K21),99))/100))+5.0))))*100))/100))*0.96)),(((((MIN((S20),99))/100))+5.0)/(1-(((MIN((S20),99))/100))+5.0))))*100))/100))*0.96)),(((((MIN(($S19),99))/100))+5.0)/(1-(((MIN(($S19),99))/100))+5.0))))*100))/100))*0.96)),(((((MIN((S18),99))/100))+5.0)/(1-(((MIN((S18),99))/100))+5.0))))*100))/100))*0.96)),(((((MIN(($S17),99))/100))+5.0)/(1-(((MIN(($S17),99))/100))+5.0))))*100))/100))*0.96)),(((((MIN((S16),99))/100))+5.0)/(1-(((MIN((S16),99))/100))+5.0))))*100))/100))*0.96)),(((((MIN(($S15),99))/100))+5.0)/(1-(((MIN(($S15),99))/100))+5.0))))*100))/100))*0.96)),(((((MIN((S$14),99))/100))+5.0)/(1-(((MIN((S$14),99))/100))+5.0))))*100))/100))*0.96)),(((((MIN(($S13),99))/100))+5.0)/(1-(((MIN(($S13),99))/100))+5.0))))*100))/100))*0.96)),(((((MIN(($S$12),99))/100))+5.0)/(1-(((MIN(($S$12),99))/100))+5.0))))*100))/100))*0.96)),(((((MIN((S$11),99))/100))+5.0)/(1-(((MIN((S$11),99))/100))+5.0))))*100))/100))*0.96)),(((((MIN(($S$10),99))/100))+5.0)/(1-(((MIN(($S$10),99))/100))+5.0))))*100))/100))*0.96)),(((((MIN(($S$9),99))/100))+5.0)/(1-(((MIN(($S$9),99))/100))+5.0))))*100))/100))*0.96)),(((((MIN((S8),99))/100))+5.0)/(1-(((MIN((S8),99))/100))+5.0))))*100))/100))*0.96)),(((((MIN(($S7),99))/100))+5.0)/(1-(((MIN(($S7),99))/100))+5.0))))*100))/100))*0.96)),(((((MIN((S$6),99))/100))+5.0)/(1-(((MIN((S$6),99))/100))+5.0))))*100))/100))*0.96)),(((((MIN((S5),99))/100))+5.0)/(1-(((MIN((S5),99))/100))+5.0))))*100),0)</f>
        <v/>
      </c>
      <c r="T21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(39)/100))*0.96)),(((((MIN((S$21),99))/100))+5.0)/(1-(((MIN((S$21),99))/100))+5.0))))*100))/100))*0.96)),(((((MIN(($R21),99))/100))+5.0)/(1-(((MIN(($R21),99))/100))+5.0))))*100))/100))*0.96)),(((((MIN(($Q$21),99))/100))+5.0)/(1-(((MIN(($Q$21),99))/100))+5.0))))*100))/100))*0.96)),(((((MIN(($P21),99))/100))+5.0)/(1-(((MIN(($P21),99))/100))+5.0))))*100))/100))*0.96)),(((((MIN(($O$21),99))/100))+5.0)/(1-(((MIN(($O$21),99))/100))+5.0))))*100))/100))*0.96)),(((((MIN(($N21),99))/100))+5.0)/(1-(((MIN(($N21),99))/100))+5.0))))*100))/100))*0.96)),(((((MIN(($M$21),99))/100))+5.0)/(1-(((MIN(($M$21),99))/100))+5.0))))*100))/100))*0.96)),(((((MIN(($L21),99))/100))+5.0)/(1-(((MIN(($L21),99))/100))+5.0))))*100))/100))*0.96)),(((((MIN((T20),99))/100))+5.0)/(1-(((MIN((T20),99))/100))+5.0))))*100))/100))*0.96)),(((((MIN((T$19),99))/100))+5.0)/(1-(((MIN((T$19),99))/100))+5.0))))*100))/100))*0.96)),(((((MIN(($T$18),99))/100))+5.0)/(1-(((MIN(($T$18),99))/100))+5.0))))*100))/100))*0.96)),(((((MIN((T$17),99))/100))+5.0)/(1-(((MIN((T$17),99))/100))+5.0))))*100))/100))*0.96)),(((((MIN((T16),99))/100))+5.0)/(1-(((MIN((T16),99))/100))+5.0))))*100))/100))*0.96)),(((((MIN((T15),99))/100))+5.0)/(1-(((MIN((T15),99))/100))+5.0))))*100))/100))*0.96)),(((((MIN(($T14),99))/100))+5.0)/(1-(((MIN(($T14),99))/100))+5.0))))*100))/100))*0.96)),(((((MIN((T13),99))/100))+5.0)/(1-(((MIN((T13),99))/100))+5.0))))*100))/100))*0.96)),(((((MIN((T12),99))/100))+5.0)/(1-(((MIN((T12),99))/100))+5.0))))*100))/100))*0.96)),(((((MIN((T$11),99))/100))+5.0)/(1-(((MIN((T$11),99))/100))+5.0))))*100))/100))*0.96)),(((((MIN(($T$10),99))/100))+5.0)/(1-(((MIN(($T$10),99))/100))+5.0))))*100))/100))*0.96)),(((((MIN((T9),99))/100))+5.0)/(1-(((MIN((T9),99))/100))+5.0))))*100))/100))*0.96)),(((((MIN(($T8),99))/100))+5.0)/(1-(((MIN(($T8),99))/100))+5.0))))*100))/100))*0.96)),(((((MIN(($T$7),99))/100))+5.0)/(1-(((MIN(($T$7),99))/100))+5.0))))*100))/100))*0.96)),(((((MIN((T6),99))/100))+5.0)/(1-(((MIN((T6),99))/100))+5.0))))*100))/100))*0.96)),(((((MIN(($T5),99))/100))+5.0)/(1-(((MIN(($T5),99))/100))+5.0))))*100),0)</f>
        <v/>
      </c>
    </row>
    <row r="22">
      <c r="A22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(65)/100))*0.96)),(((((MIN((A21),99))/100))+5.0)/(1-(((MIN((A21),99))/100))+5.0))))*100))/100))*0.96)),(((((MIN((A20),99))/100))+5.0)/(1-(((MIN((A20),99))/100))+5.0))))*100))/100))*0.96)),(((((MIN((A19),99))/100))+5.0)/(1-(((MIN((A19),99))/100))+5.0))))*100))/100))*0.96)),(((((MIN(($A18),99))/100))+5.0)/(1-(((MIN(($A18),99))/100))+5.0))))*100))/100))*0.96)),(((((MIN(($A17),99))/100))+5.0)/(1-(((MIN(($A17),99))/100))+5.0))))*100))/100))*0.96)),(((((MIN((A$16),99))/100))+5.0)/(1-(((MIN((A$16),99))/100))+5.0))))*100))/100))*0.96)),(((((MIN((A$15),99))/100))+5.0)/(1-(((MIN((A$15),99))/100))+5.0))))*100))/100))*0.96)),(((((MIN(($A$14),99))/100))+5.0)/(1-(((MIN(($A$14),99))/100))+5.0))))*100))/100))*0.96)),(((((MIN((A$13),99))/100))+5.0)/(1-(((MIN((A$13),99))/100))+5.0))))*100))/100))*0.96)),(((((MIN((A$12),99))/100))+5.0)/(1-(((MIN((A$12),99))/100))+5.0))))*100))/100))*0.96)),(((((MIN((A11),99))/100))+5.0)/(1-(((MIN((A11),99))/100))+5.0))))*100))/100))*0.96)),(((((MIN((A10),99))/100))+5.0)/(1-(((MIN((A10),99))/100))+5.0))))*100))/100))*0.96)),(((((MIN((A$9),99))/100))+5.0)/(1-(((MIN((A$9),99))/100))+5.0))))*100))/100))*0.96)),(((((MIN((A8),99))/100))+5.0)/(1-(((MIN((A8),99))/100))+5.0))))*100))/100))*0.96)),(((((MIN((A$7),99))/100))+5.0)/(1-(((MIN((A$7),99))/100))+5.0))))*100))/100))*0.96)),(((((MIN(($A$6),99))/100))+5.0)/(1-(((MIN(($A$6),99))/100))+5.0))))*100),0)</f>
        <v/>
      </c>
      <c r="B22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(49)/100))*0.96)),(((((MIN((A22),99))/100))+5.0)/(1-(((MIN((A22),99))/100))+5.0))))*100))/100))*0.96)),(((((MIN((B21),99))/100))+5.0)/(1-(((MIN((B21),99))/100))+5.0))))*100))/100))*0.96)),(((((MIN(($B20),99))/100))+5.0)/(1-(((MIN(($B20),99))/100))+5.0))))*100))/100))*0.96)),(((((MIN((B19),99))/100))+5.0)/(1-(((MIN((B19),99))/100))+5.0))))*100))/100))*0.96)),(((((MIN(($B$18),99))/100))+5.0)/(1-(((MIN(($B$18),99))/100))+5.0))))*100))/100))*0.96)),(((((MIN(($B$17),99))/100))+5.0)/(1-(((MIN(($B$17),99))/100))+5.0))))*100))/100))*0.96)),(((((MIN(($B16),99))/100))+5.0)/(1-(((MIN(($B16),99))/100))+5.0))))*100))/100))*0.96)),(((((MIN(($B$15),99))/100))+5.0)/(1-(((MIN(($B$15),99))/100))+5.0))))*100))/100))*0.96)),(((((MIN(($B$14),99))/100))+5.0)/(1-(((MIN(($B$14),99))/100))+5.0))))*100))/100))*0.96)),(((((MIN((B$13),99))/100))+5.0)/(1-(((MIN((B$13),99))/100))+5.0))))*100))/100))*0.96)),(((((MIN((B12),99))/100))+5.0)/(1-(((MIN((B12),99))/100))+5.0))))*100))/100))*0.96)),(((((MIN(($B$11),99))/100))+5.0)/(1-(((MIN(($B$11),99))/100))+5.0))))*100))/100))*0.96)),(((((MIN(($B$10),99))/100))+5.0)/(1-(((MIN(($B$10),99))/100))+5.0))))*100))/100))*0.96)),(((((MIN((B$9),99))/100))+5.0)/(1-(((MIN((B$9),99))/100))+5.0))))*100))/100))*0.96)),(((((MIN((B8),99))/100))+5.0)/(1-(((MIN((B8),99))/100))+5.0))))*100))/100))*0.96)),(((((MIN((B7),99))/100))+5.0)/(1-(((MIN((B7),99))/100))+5.0))))*100))/100))*0.96)),(((((MIN((B6),99))/100))+5.0)/(1-(((MIN((B6),99))/100))+5.0))))*100),0)</f>
        <v/>
      </c>
      <c r="C22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(70)/100))*0.96)),(((((MIN((B$22),99))/100))+5.0)/(1-(((MIN((B$22),99))/100))+5.0))))*100))/100))*0.96)),(((((MIN((A22),99))/100))+5.0)/(1-(((MIN((A22),99))/100))+5.0))))*100))/100))*0.96)),(((((MIN(($C$21),99))/100))+5.0)/(1-(((MIN(($C$21),99))/100))+5.0))))*100))/100))*0.96)),(((((MIN(($C20),99))/100))+5.0)/(1-(((MIN(($C20),99))/100))+5.0))))*100))/100))*0.96)),(((((MIN((C$19),99))/100))+5.0)/(1-(((MIN((C$19),99))/100))+5.0))))*100))/100))*0.96)),(((((MIN((C$18),99))/100))+5.0)/(1-(((MIN((C$18),99))/100))+5.0))))*100))/100))*0.96)),(((((MIN(($C17),99))/100))+5.0)/(1-(((MIN(($C17),99))/100))+5.0))))*100))/100))*0.96)),(((((MIN((C$16),99))/100))+5.0)/(1-(((MIN((C$16),99))/100))+5.0))))*100))/100))*0.96)),(((((MIN((C15),99))/100))+5.0)/(1-(((MIN((C15),99))/100))+5.0))))*100))/100))*0.96)),(((((MIN(($C$14),99))/100))+5.0)/(1-(((MIN(($C$14),99))/100))+5.0))))*100))/100))*0.96)),(((((MIN(($C13),99))/100))+5.0)/(1-(((MIN(($C13),99))/100))+5.0))))*100))/100))*0.96)),(((((MIN((C$12),99))/100))+5.0)/(1-(((MIN((C$12),99))/100))+5.0))))*100))/100))*0.96)),(((((MIN(($C$11),99))/100))+5.0)/(1-(((MIN(($C$11),99))/100))+5.0))))*100))/100))*0.96)),(((((MIN(($C$10),99))/100))+5.0)/(1-(((MIN(($C$10),99))/100))+5.0))))*100))/100))*0.96)),(((((MIN((C9),99))/100))+5.0)/(1-(((MIN((C9),99))/100))+5.0))))*100))/100))*0.96)),(((((MIN(($C8),99))/100))+5.0)/(1-(((MIN(($C8),99))/100))+5.0))))*100))/100))*0.96)),(((((MIN((C$7),99))/100))+5.0)/(1-(((MIN((C$7),99))/100))+5.0))))*100))/100))*0.96)),(((((MIN(($C6),99))/100))+5.0)/(1-(((MIN(($C6),99))/100))+5.0))))*100),0)</f>
        <v/>
      </c>
      <c r="D22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(85)/100))*0.96)),(((((MIN((C$22),99))/100))+5.0)/(1-(((MIN((C$22),99))/100))+5.0))))*100))/100))*0.96)),(((((MIN(($B$22),99))/100))+5.0)/(1-(((MIN(($B$22),99))/100))+5.0))))*100))/100))*0.96)),(((((MIN(($A22),99))/100))+5.0)/(1-(((MIN(($A22),99))/100))+5.0))))*100))/100))*0.96)),(((((MIN(($D21),99))/100))+5.0)/(1-(((MIN(($D21),99))/100))+5.0))))*100))/100))*0.96)),(((((MIN((D$20),99))/100))+5.0)/(1-(((MIN((D$20),99))/100))+5.0))))*100))/100))*0.96)),(((((MIN(($D19),99))/100))+5.0)/(1-(((MIN(($D19),99))/100))+5.0))))*100))/100))*0.96)),(((((MIN((D$18),99))/100))+5.0)/(1-(((MIN((D$18),99))/100))+5.0))))*100))/100))*0.96)),(((((MIN((D$17),99))/100))+5.0)/(1-(((MIN((D$17),99))/100))+5.0))))*100))/100))*0.96)),(((((MIN(($D16),99))/100))+5.0)/(1-(((MIN(($D16),99))/100))+5.0))))*100))/100))*0.96)),(((((MIN((D$15),99))/100))+5.0)/(1-(((MIN((D$15),99))/100))+5.0))))*100))/100))*0.96)),(((((MIN((D14),99))/100))+5.0)/(1-(((MIN((D14),99))/100))+5.0))))*100))/100))*0.96)),(((((MIN(($D13),99))/100))+5.0)/(1-(((MIN(($D13),99))/100))+5.0))))*100))/100))*0.96)),(((((MIN(($D$12),99))/100))+5.0)/(1-(((MIN(($D$12),99))/100))+5.0))))*100))/100))*0.96)),(((((MIN((D11),99))/100))+5.0)/(1-(((MIN((D11),99))/100))+5.0))))*100))/100))*0.96)),(((((MIN((D$10),99))/100))+5.0)/(1-(((MIN((D$10),99))/100))+5.0))))*100))/100))*0.96)),(((((MIN((D$9),99))/100))+5.0)/(1-(((MIN((D$9),99))/100))+5.0))))*100))/100))*0.96)),(((((MIN(($D$8),99))/100))+5.0)/(1-(((MIN(($D$8),99))/100))+5.0))))*100))/100))*0.96)),(((((MIN(($D$7),99))/100))+5.0)/(1-(((MIN(($D$7),99))/100))+5.0))))*100))/100))*0.96)),(((((MIN(($D$6),99))/100))+5.0)/(1-(((MIN(($D$6),99))/100))+5.0))))*100),0)</f>
        <v/>
      </c>
      <c r="E22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(36)/100))*0.96)),(((((MIN(($D22),99))/100))+5.0)/(1-(((MIN(($D22),99))/100))+5.0))))*100))/100))*0.96)),(((((MIN((C22),99))/100))+5.0)/(1-(((MIN((C22),99))/100))+5.0))))*100))/100))*0.96)),(((((MIN((B$22),99))/100))+5.0)/(1-(((MIN((B$22),99))/100))+5.0))))*100))/100))*0.96)),(((((MIN((A$22),99))/100))+5.0)/(1-(((MIN((A$22),99))/100))+5.0))))*100))/100))*0.96)),(((((MIN(($E$21),99))/100))+5.0)/(1-(((MIN(($E$21),99))/100))+5.0))))*100))/100))*0.96)),(((((MIN(($E$20),99))/100))+5.0)/(1-(((MIN(($E$20),99))/100))+5.0))))*100))/100))*0.96)),(((((MIN(($E19),99))/100))+5.0)/(1-(((MIN(($E19),99))/100))+5.0))))*100))/100))*0.96)),(((((MIN(($E18),99))/100))+5.0)/(1-(((MIN(($E18),99))/100))+5.0))))*100))/100))*0.96)),(((((MIN(($E17),99))/100))+5.0)/(1-(((MIN(($E17),99))/100))+5.0))))*100))/100))*0.96)),(((((MIN((E$16),99))/100))+5.0)/(1-(((MIN((E$16),99))/100))+5.0))))*100))/100))*0.96)),(((((MIN(($E15),99))/100))+5.0)/(1-(((MIN(($E15),99))/100))+5.0))))*100))/100))*0.96)),(((((MIN(($E$14),99))/100))+5.0)/(1-(((MIN(($E$14),99))/100))+5.0))))*100))/100))*0.96)),(((((MIN((E13),99))/100))+5.0)/(1-(((MIN((E13),99))/100))+5.0))))*100))/100))*0.96)),(((((MIN((E$12),99))/100))+5.0)/(1-(((MIN((E$12),99))/100))+5.0))))*100))/100))*0.96)),(((((MIN(($E$11),99))/100))+5.0)/(1-(((MIN(($E$11),99))/100))+5.0))))*100))/100))*0.96)),(((((MIN((E$10),99))/100))+5.0)/(1-(((MIN((E$10),99))/100))+5.0))))*100))/100))*0.96)),(((((MIN((E$9),99))/100))+5.0)/(1-(((MIN((E$9),99))/100))+5.0))))*100))/100))*0.96)),(((((MIN(($E$8),99))/100))+5.0)/(1-(((MIN(($E$8),99))/100))+5.0))))*100))/100))*0.96)),(((((MIN(($E7),99))/100))+5.0)/(1-(((MIN(($E7),99))/100))+5.0))))*100))/100))*0.96)),(((((MIN(($E6),99))/100))+5.0)/(1-(((MIN(($E6),99))/100))+5.0))))*100),0)</f>
        <v/>
      </c>
      <c r="F22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(67)/100))*0.96)),(((((MIN((E$22),99))/100))+5.0)/(1-(((MIN((E$22),99))/100))+5.0))))*100))/100))*0.96)),(((((MIN((D$22),99))/100))+5.0)/(1-(((MIN((D$22),99))/100))+5.0))))*100))/100))*0.96)),(((((MIN(($C$22),99))/100))+5.0)/(1-(((MIN(($C$22),99))/100))+5.0))))*100))/100))*0.96)),(((((MIN((B$22),99))/100))+5.0)/(1-(((MIN((B$22),99))/100))+5.0))))*100))/100))*0.96)),(((((MIN((A22),99))/100))+5.0)/(1-(((MIN((A22),99))/100))+5.0))))*100))/100))*0.96)),(((((MIN(($F21),99))/100))+5.0)/(1-(((MIN(($F21),99))/100))+5.0))))*100))/100))*0.96)),(((((MIN(($F$20),99))/100))+5.0)/(1-(((MIN(($F$20),99))/100))+5.0))))*100))/100))*0.96)),(((((MIN(($F$19),99))/100))+5.0)/(1-(((MIN(($F$19),99))/100))+5.0))))*100))/100))*0.96)),(((((MIN(($F$18),99))/100))+5.0)/(1-(((MIN(($F$18),99))/100))+5.0))))*100))/100))*0.96)),(((((MIN((F17),99))/100))+5.0)/(1-(((MIN((F17),99))/100))+5.0))))*100))/100))*0.96)),(((((MIN(($F$16),99))/100))+5.0)/(1-(((MIN(($F$16),99))/100))+5.0))))*100))/100))*0.96)),(((((MIN((F15),99))/100))+5.0)/(1-(((MIN((F15),99))/100))+5.0))))*100))/100))*0.96)),(((((MIN((F14),99))/100))+5.0)/(1-(((MIN((F14),99))/100))+5.0))))*100))/100))*0.96)),(((((MIN(($F$13),99))/100))+5.0)/(1-(((MIN(($F$13),99))/100))+5.0))))*100))/100))*0.96)),(((((MIN((F$12),99))/100))+5.0)/(1-(((MIN((F$12),99))/100))+5.0))))*100))/100))*0.96)),(((((MIN(($F11),99))/100))+5.0)/(1-(((MIN(($F11),99))/100))+5.0))))*100))/100))*0.96)),(((((MIN((F10),99))/100))+5.0)/(1-(((MIN((F10),99))/100))+5.0))))*100))/100))*0.96)),(((((MIN(($F$9),99))/100))+5.0)/(1-(((MIN(($F$9),99))/100))+5.0))))*100))/100))*0.96)),(((((MIN((F8),99))/100))+5.0)/(1-(((MIN((F8),99))/100))+5.0))))*100))/100))*0.96)),(((((MIN(($F7),99))/100))+5.0)/(1-(((MIN(($F7),99))/100))+5.0))))*100))/100))*0.96)),(((((MIN(($F6),99))/100))+5.0)/(1-(((MIN(($F6),99))/100))+5.0))))*100),0)</f>
        <v/>
      </c>
      <c r="G22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(80)/100))*0.96)),(((((MIN(($F22),99))/100))+5.0)/(1-(((MIN(($F22),99))/100))+5.0))))*100))/100))*0.96)),(((((MIN((E$22),99))/100))+5.0)/(1-(((MIN((E$22),99))/100))+5.0))))*100))/100))*0.96)),(((((MIN(($D$22),99))/100))+5.0)/(1-(((MIN(($D$22),99))/100))+5.0))))*100))/100))*0.96)),(((((MIN(($C22),99))/100))+5.0)/(1-(((MIN(($C22),99))/100))+5.0))))*100))/100))*0.96)),(((((MIN((B22),99))/100))+5.0)/(1-(((MIN((B22),99))/100))+5.0))))*100))/100))*0.96)),(((((MIN(($A$22),99))/100))+5.0)/(1-(((MIN(($A$22),99))/100))+5.0))))*100))/100))*0.96)),(((((MIN((G$21),99))/100))+5.0)/(1-(((MIN((G$21),99))/100))+5.0))))*100))/100))*0.96)),(((((MIN(($G$20),99))/100))+5.0)/(1-(((MIN(($G$20),99))/100))+5.0))))*100))/100))*0.96)),(((((MIN((G$19),99))/100))+5.0)/(1-(((MIN((G$19),99))/100))+5.0))))*100))/100))*0.96)),(((((MIN(($G18),99))/100))+5.0)/(1-(((MIN(($G18),99))/100))+5.0))))*100))/100))*0.96)),(((((MIN(($G$17),99))/100))+5.0)/(1-(((MIN(($G$17),99))/100))+5.0))))*100))/100))*0.96)),(((((MIN(($G16),99))/100))+5.0)/(1-(((MIN(($G16),99))/100))+5.0))))*100))/100))*0.96)),(((((MIN((G$15),99))/100))+5.0)/(1-(((MIN((G$15),99))/100))+5.0))))*100))/100))*0.96)),(((((MIN(($G14),99))/100))+5.0)/(1-(((MIN(($G14),99))/100))+5.0))))*100))/100))*0.96)),(((((MIN((G$13),99))/100))+5.0)/(1-(((MIN((G$13),99))/100))+5.0))))*100))/100))*0.96)),(((((MIN((G12),99))/100))+5.0)/(1-(((MIN((G12),99))/100))+5.0))))*100))/100))*0.96)),(((((MIN(($G11),99))/100))+5.0)/(1-(((MIN(($G11),99))/100))+5.0))))*100))/100))*0.96)),(((((MIN(($G$10),99))/100))+5.0)/(1-(((MIN(($G$10),99))/100))+5.0))))*100))/100))*0.96)),(((((MIN(($G$9),99))/100))+5.0)/(1-(((MIN(($G$9),99))/100))+5.0))))*100))/100))*0.96)),(((((MIN((G$8),99))/100))+5.0)/(1-(((MIN((G$8),99))/100))+5.0))))*100))/100))*0.96)),(((((MIN((G$7),99))/100))+5.0)/(1-(((MIN((G$7),99))/100))+5.0))))*100))/100))*0.96)),(((((MIN((G$6),99))/100))+5.0)/(1-(((MIN((G$6),99))/100))+5.0))))*100),0)</f>
        <v/>
      </c>
      <c r="H22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(20)/100))*0.96)),(((((MIN((G$22),99))/100))+5.0)/(1-(((MIN((G$22),99))/100))+5.0))))*100))/100))*0.96)),(((((MIN((F$22),99))/100))+5.0)/(1-(((MIN((F$22),99))/100))+5.0))))*100))/100))*0.96)),(((((MIN((E22),99))/100))+5.0)/(1-(((MIN((E22),99))/100))+5.0))))*100))/100))*0.96)),(((((MIN(($D22),99))/100))+5.0)/(1-(((MIN(($D22),99))/100))+5.0))))*100))/100))*0.96)),(((((MIN((C22),99))/100))+5.0)/(1-(((MIN((C22),99))/100))+5.0))))*100))/100))*0.96)),(((((MIN((B22),99))/100))+5.0)/(1-(((MIN((B22),99))/100))+5.0))))*100))/100))*0.96)),(((((MIN((A22),99))/100))+5.0)/(1-(((MIN((A22),99))/100))+5.0))))*100))/100))*0.96)),(((((MIN(($H$21),99))/100))+5.0)/(1-(((MIN(($H$21),99))/100))+5.0))))*100))/100))*0.96)),(((((MIN((H$20),99))/100))+5.0)/(1-(((MIN((H$20),99))/100))+5.0))))*100))/100))*0.96)),(((((MIN((H19),99))/100))+5.0)/(1-(((MIN((H19),99))/100))+5.0))))*100))/100))*0.96)),(((((MIN((H$18),99))/100))+5.0)/(1-(((MIN((H$18),99))/100))+5.0))))*100))/100))*0.96)),(((((MIN((H17),99))/100))+5.0)/(1-(((MIN((H17),99))/100))+5.0))))*100))/100))*0.96)),(((((MIN((H16),99))/100))+5.0)/(1-(((MIN((H16),99))/100))+5.0))))*100))/100))*0.96)),(((((MIN((H$15),99))/100))+5.0)/(1-(((MIN((H$15),99))/100))+5.0))))*100))/100))*0.96)),(((((MIN(($H$14),99))/100))+5.0)/(1-(((MIN(($H$14),99))/100))+5.0))))*100))/100))*0.96)),(((((MIN((H$13),99))/100))+5.0)/(1-(((MIN((H$13),99))/100))+5.0))))*100))/100))*0.96)),(((((MIN((H$12),99))/100))+5.0)/(1-(((MIN((H$12),99))/100))+5.0))))*100))/100))*0.96)),(((((MIN(($H11),99))/100))+5.0)/(1-(((MIN(($H11),99))/100))+5.0))))*100))/100))*0.96)),(((((MIN(($H$10),99))/100))+5.0)/(1-(((MIN(($H$10),99))/100))+5.0))))*100))/100))*0.96)),(((((MIN((H$9),99))/100))+5.0)/(1-(((MIN((H$9),99))/100))+5.0))))*100))/100))*0.96)),(((((MIN((H8),99))/100))+5.0)/(1-(((MIN((H8),99))/100))+5.0))))*100))/100))*0.96)),(((((MIN(($H$7),99))/100))+5.0)/(1-(((MIN(($H$7),99))/100))+5.0))))*100))/100))*0.96)),(((((MIN((H$6),99))/100))+5.0)/(1-(((MIN((H$6),99))/100))+5.0))))*100),0)</f>
        <v/>
      </c>
      <c r="I22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(92)/100))*0.96)),(((((MIN(($H$22),99))/100))+5.0)/(1-(((MIN(($H$22),99))/100))+5.0))))*100))/100))*0.96)),(((((MIN(($G$22),99))/100))+5.0)/(1-(((MIN(($G$22),99))/100))+5.0))))*100))/100))*0.96)),(((((MIN(($F$22),99))/100))+5.0)/(1-(((MIN(($F$22),99))/100))+5.0))))*100))/100))*0.96)),(((((MIN((E$22),99))/100))+5.0)/(1-(((MIN((E$22),99))/100))+5.0))))*100))/100))*0.96)),(((((MIN(($D22),99))/100))+5.0)/(1-(((MIN(($D22),99))/100))+5.0))))*100))/100))*0.96)),(((((MIN((C$22),99))/100))+5.0)/(1-(((MIN((C$22),99))/100))+5.0))))*100))/100))*0.96)),(((((MIN((B22),99))/100))+5.0)/(1-(((MIN((B22),99))/100))+5.0))))*100))/100))*0.96)),(((((MIN(($A$22),99))/100))+5.0)/(1-(((MIN(($A$22),99))/100))+5.0))))*100))/100))*0.96)),(((((MIN((I21),99))/100))+5.0)/(1-(((MIN((I21),99))/100))+5.0))))*100))/100))*0.96)),(((((MIN(($I$20),99))/100))+5.0)/(1-(((MIN(($I$20),99))/100))+5.0))))*100))/100))*0.96)),(((((MIN(($I$19),99))/100))+5.0)/(1-(((MIN(($I$19),99))/100))+5.0))))*100))/100))*0.96)),(((((MIN((I$18),99))/100))+5.0)/(1-(((MIN((I$18),99))/100))+5.0))))*100))/100))*0.96)),(((((MIN((I17),99))/100))+5.0)/(1-(((MIN((I17),99))/100))+5.0))))*100))/100))*0.96)),(((((MIN(($I$16),99))/100))+5.0)/(1-(((MIN(($I$16),99))/100))+5.0))))*100))/100))*0.96)),(((((MIN((I15),99))/100))+5.0)/(1-(((MIN((I15),99))/100))+5.0))))*100))/100))*0.96)),(((((MIN((I14),99))/100))+5.0)/(1-(((MIN((I14),99))/100))+5.0))))*100))/100))*0.96)),(((((MIN((I$13),99))/100))+5.0)/(1-(((MIN((I$13),99))/100))+5.0))))*100))/100))*0.96)),(((((MIN(($I12),99))/100))+5.0)/(1-(((MIN(($I12),99))/100))+5.0))))*100))/100))*0.96)),(((((MIN(($I11),99))/100))+5.0)/(1-(((MIN(($I11),99))/100))+5.0))))*100))/100))*0.96)),(((((MIN((I10),99))/100))+5.0)/(1-(((MIN((I10),99))/100))+5.0))))*100))/100))*0.96)),(((((MIN(($I9),99))/100))+5.0)/(1-(((MIN(($I9),99))/100))+5.0))))*100))/100))*0.96)),(((((MIN((I$8),99))/100))+5.0)/(1-(((MIN((I$8),99))/100))+5.0))))*100))/100))*0.96)),(((((MIN((I$7),99))/100))+5.0)/(1-(((MIN((I$7),99))/100))+5.0))))*100))/100))*0.96)),(((((MIN((I6),99))/100))+5.0)/(1-(((MIN((I6),99))/100))+5.0))))*100),0)</f>
        <v/>
      </c>
      <c r="J22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(32)/100))*0.96)),(((((MIN((I$22),99))/100))+5.0)/(1-(((MIN((I$22),99))/100))+5.0))))*100))/100))*0.96)),(((((MIN((H22),99))/100))+5.0)/(1-(((MIN((H22),99))/100))+5.0))))*100))/100))*0.96)),(((((MIN(($G$22),99))/100))+5.0)/(1-(((MIN(($G$22),99))/100))+5.0))))*100))/100))*0.96)),(((((MIN((F$22),99))/100))+5.0)/(1-(((MIN((F$22),99))/100))+5.0))))*100))/100))*0.96)),(((((MIN(($E22),99))/100))+5.0)/(1-(((MIN(($E22),99))/100))+5.0))))*100))/100))*0.96)),(((((MIN((D$22),99))/100))+5.0)/(1-(((MIN((D$22),99))/100))+5.0))))*100))/100))*0.96)),(((((MIN(($C$22),99))/100))+5.0)/(1-(((MIN(($C$22),99))/100))+5.0))))*100))/100))*0.96)),(((((MIN((B$22),99))/100))+5.0)/(1-(((MIN((B$22),99))/100))+5.0))))*100))/100))*0.96)),(((((MIN((J21),99))/100))+5.0)/(1-(((MIN((J21),99))/100))+5.0))))*100))/100))*0.96)),(((((MIN((J20),99))/100))+5.0)/(1-(((MIN((J20),99))/100))+5.0))))*100))/100))*0.96)),(((((MIN(($J19),99))/100))+5.0)/(1-(((MIN(($J19),99))/100))+5.0))))*100))/100))*0.96)),(((((MIN(($J$18),99))/100))+5.0)/(1-(((MIN(($J$18),99))/100))+5.0))))*100))/100))*0.96)),(((((MIN(($J17),99))/100))+5.0)/(1-(((MIN(($J17),99))/100))+5.0))))*100))/100))*0.96)),(((((MIN((J$16),99))/100))+5.0)/(1-(((MIN((J$16),99))/100))+5.0))))*100))/100))*0.96)),(((((MIN((J15),99))/100))+5.0)/(1-(((MIN((J15),99))/100))+5.0))))*100))/100))*0.96)),(((((MIN(($J14),99))/100))+5.0)/(1-(((MIN(($J14),99))/100))+5.0))))*100))/100))*0.96)),(((((MIN((J$13),99))/100))+5.0)/(1-(((MIN((J$13),99))/100))+5.0))))*100))/100))*0.96)),(((((MIN((J12),99))/100))+5.0)/(1-(((MIN((J12),99))/100))+5.0))))*100))/100))*0.96)),(((((MIN(($J11),99))/100))+5.0)/(1-(((MIN(($J11),99))/100))+5.0))))*100))/100))*0.96)),(((((MIN((J$10),99))/100))+5.0)/(1-(((MIN((J$10),99))/100))+5.0))))*100))/100))*0.96)),(((((MIN(($J$9),99))/100))+5.0)/(1-(((MIN(($J$9),99))/100))+5.0))))*100))/100))*0.96)),(((((MIN(($J8),99))/100))+5.0)/(1-(((MIN(($J8),99))/100))+5.0))))*100))/100))*0.96)),(((((MIN((J7),99))/100))+5.0)/(1-(((MIN((J7),99))/100))+5.0))))*100))/100))*0.96)),(((((MIN((J6),99))/100))+5.0)/(1-(((MIN((J6),99))/100))+5.0))))*100),0)</f>
        <v/>
      </c>
      <c r="K22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(89)/100))*0.96)),(((((MIN(($J$22),99))/100))+5.0)/(1-(((MIN(($J$22),99))/100))+5.0))))*100))/100))*0.96)),(((((MIN(($I$22),99))/100))+5.0)/(1-(((MIN(($I$22),99))/100))+5.0))))*100))/100))*0.96)),(((((MIN(($H$22),99))/100))+5.0)/(1-(((MIN(($H$22),99))/100))+5.0))))*100))/100))*0.96)),(((((MIN(($G22),99))/100))+5.0)/(1-(((MIN(($G22),99))/100))+5.0))))*100))/100))*0.96)),(((((MIN(($F22),99))/100))+5.0)/(1-(((MIN(($F22),99))/100))+5.0))))*100))/100))*0.96)),(((((MIN(($E22),99))/100))+5.0)/(1-(((MIN(($E22),99))/100))+5.0))))*100))/100))*0.96)),(((((MIN(($D22),99))/100))+5.0)/(1-(((MIN(($D22),99))/100))+5.0))))*100))/100))*0.96)),(((((MIN((C22),99))/100))+5.0)/(1-(((MIN((C22),99))/100))+5.0))))*100))/100))*0.96)),(((((MIN((K$21),99))/100))+5.0)/(1-(((MIN((K$21),99))/100))+5.0))))*100))/100))*0.96)),(((((MIN((K$20),99))/100))+5.0)/(1-(((MIN((K$20),99))/100))+5.0))))*100))/100))*0.96)),(((((MIN(($K$19),99))/100))+5.0)/(1-(((MIN(($K$19),99))/100))+5.0))))*100))/100))*0.96)),(((((MIN((K18),99))/100))+5.0)/(1-(((MIN((K18),99))/100))+5.0))))*100))/100))*0.96)),(((((MIN((K17),99))/100))+5.0)/(1-(((MIN((K17),99))/100))+5.0))))*100))/100))*0.96)),(((((MIN(($K$16),99))/100))+5.0)/(1-(((MIN(($K$16),99))/100))+5.0))))*100))/100))*0.96)),(((((MIN(($K$15),99))/100))+5.0)/(1-(((MIN(($K$15),99))/100))+5.0))))*100))/100))*0.96)),(((((MIN((K$14),99))/100))+5.0)/(1-(((MIN((K$14),99))/100))+5.0))))*100))/100))*0.96)),(((((MIN(($K$13),99))/100))+5.0)/(1-(((MIN(($K$13),99))/100))+5.0))))*100))/100))*0.96)),(((((MIN(($K$12),99))/100))+5.0)/(1-(((MIN(($K$12),99))/100))+5.0))))*100))/100))*0.96)),(((((MIN(($K$11),99))/100))+5.0)/(1-(((MIN(($K$11),99))/100))+5.0))))*100))/100))*0.96)),(((((MIN(($K$10),99))/100))+5.0)/(1-(((MIN(($K$10),99))/100))+5.0))))*100))/100))*0.96)),(((((MIN((K$9),99))/100))+5.0)/(1-(((MIN((K$9),99))/100))+5.0))))*100))/100))*0.96)),(((((MIN(($K8),99))/100))+5.0)/(1-(((MIN(($K8),99))/100))+5.0))))*100))/100))*0.96)),(((((MIN((K$7),99))/100))+5.0)/(1-(((MIN((K$7),99))/100))+5.0))))*100))/100))*0.96)),(((((MIN((K6),99))/100))+5.0)/(1-(((MIN((K6),99))/100))+5.0))))*100),0)</f>
        <v/>
      </c>
      <c r="L22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(75)/100))*0.96)),(((((MIN(($K$22),99))/100))+5.0)/(1-(((MIN(($K$22),99))/100))+5.0))))*100))/100))*0.96)),(((((MIN((J22),99))/100))+5.0)/(1-(((MIN((J22),99))/100))+5.0))))*100))/100))*0.96)),(((((MIN((I$22),99))/100))+5.0)/(1-(((MIN((I$22),99))/100))+5.0))))*100))/100))*0.96)),(((((MIN(($H22),99))/100))+5.0)/(1-(((MIN(($H22),99))/100))+5.0))))*100))/100))*0.96)),(((((MIN(($G$22),99))/100))+5.0)/(1-(((MIN(($G$22),99))/100))+5.0))))*100))/100))*0.96)),(((((MIN(($F22),99))/100))+5.0)/(1-(((MIN(($F22),99))/100))+5.0))))*100))/100))*0.96)),(((((MIN(($E22),99))/100))+5.0)/(1-(((MIN(($E22),99))/100))+5.0))))*100))/100))*0.96)),(((((MIN(($D22),99))/100))+5.0)/(1-(((MIN(($D22),99))/100))+5.0))))*100))/100))*0.96)),(((((MIN(($L21),99))/100))+5.0)/(1-(((MIN(($L21),99))/100))+5.0))))*100))/100))*0.96)),(((((MIN(($L$20),99))/100))+5.0)/(1-(((MIN(($L$20),99))/100))+5.0))))*100))/100))*0.96)),(((((MIN(($L19),99))/100))+5.0)/(1-(((MIN(($L19),99))/100))+5.0))))*100))/100))*0.96)),(((((MIN(($L18),99))/100))+5.0)/(1-(((MIN(($L18),99))/100))+5.0))))*100))/100))*0.96)),(((((MIN((L17),99))/100))+5.0)/(1-(((MIN((L17),99))/100))+5.0))))*100))/100))*0.96)),(((((MIN(($L16),99))/100))+5.0)/(1-(((MIN(($L16),99))/100))+5.0))))*100))/100))*0.96)),(((((MIN((L$15),99))/100))+5.0)/(1-(((MIN((L$15),99))/100))+5.0))))*100))/100))*0.96)),(((((MIN((L$14),99))/100))+5.0)/(1-(((MIN((L$14),99))/100))+5.0))))*100))/100))*0.96)),(((((MIN(($L13),99))/100))+5.0)/(1-(((MIN(($L13),99))/100))+5.0))))*100))/100))*0.96)),(((((MIN(($L12),99))/100))+5.0)/(1-(((MIN(($L12),99))/100))+5.0))))*100))/100))*0.96)),(((((MIN(($L$11),99))/100))+5.0)/(1-(((MIN(($L$11),99))/100))+5.0))))*100))/100))*0.96)),(((((MIN((L$10),99))/100))+5.0)/(1-(((MIN((L$10),99))/100))+5.0))))*100))/100))*0.96)),(((((MIN(($L$9),99))/100))+5.0)/(1-(((MIN(($L$9),99))/100))+5.0))))*100))/100))*0.96)),(((((MIN((L$8),99))/100))+5.0)/(1-(((MIN((L$8),99))/100))+5.0))))*100))/100))*0.96)),(((((MIN((L$7),99))/100))+5.0)/(1-(((MIN((L$7),99))/100))+5.0))))*100))/100))*0.96)),(((((MIN((L$6),99))/100))+5.0)/(1-(((MIN((L$6),99))/100))+5.0))))*100),0)</f>
        <v/>
      </c>
      <c r="M22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(64)/100))*0.96)),(((((MIN(($L22),99))/100))+5.0)/(1-(((MIN(($L22),99))/100))+5.0))))*100))/100))*0.96)),(((((MIN((K$22),99))/100))+5.0)/(1-(((MIN((K$22),99))/100))+5.0))))*100))/100))*0.96)),(((((MIN((J$22),99))/100))+5.0)/(1-(((MIN((J$22),99))/100))+5.0))))*100))/100))*0.96)),(((((MIN(($I22),99))/100))+5.0)/(1-(((MIN(($I22),99))/100))+5.0))))*100))/100))*0.96)),(((((MIN((H$22),99))/100))+5.0)/(1-(((MIN((H$22),99))/100))+5.0))))*100))/100))*0.96)),(((((MIN(($G$22),99))/100))+5.0)/(1-(((MIN(($G$22),99))/100))+5.0))))*100))/100))*0.96)),(((((MIN(($F$22),99))/100))+5.0)/(1-(((MIN(($F$22),99))/100))+5.0))))*100))/100))*0.96)),(((((MIN((E$22),99))/100))+5.0)/(1-(((MIN((E$22),99))/100))+5.0))))*100))/100))*0.96)),(((((MIN(($M21),99))/100))+5.0)/(1-(((MIN(($M21),99))/100))+5.0))))*100))/100))*0.96)),(((((MIN(($M$20),99))/100))+5.0)/(1-(((MIN(($M$20),99))/100))+5.0))))*100))/100))*0.96)),(((((MIN(($M$19),99))/100))+5.0)/(1-(((MIN(($M$19),99))/100))+5.0))))*100))/100))*0.96)),(((((MIN((M$18),99))/100))+5.0)/(1-(((MIN((M$18),99))/100))+5.0))))*100))/100))*0.96)),(((((MIN((M17),99))/100))+5.0)/(1-(((MIN((M17),99))/100))+5.0))))*100))/100))*0.96)),(((((MIN(($M16),99))/100))+5.0)/(1-(((MIN(($M16),99))/100))+5.0))))*100))/100))*0.96)),(((((MIN(($M15),99))/100))+5.0)/(1-(((MIN(($M15),99))/100))+5.0))))*100))/100))*0.96)),(((((MIN((M14),99))/100))+5.0)/(1-(((MIN((M14),99))/100))+5.0))))*100))/100))*0.96)),(((((MIN((M13),99))/100))+5.0)/(1-(((MIN((M13),99))/100))+5.0))))*100))/100))*0.96)),(((((MIN(($M12),99))/100))+5.0)/(1-(((MIN(($M12),99))/100))+5.0))))*100))/100))*0.96)),(((((MIN((M$11),99))/100))+5.0)/(1-(((MIN((M$11),99))/100))+5.0))))*100))/100))*0.96)),(((((MIN((M$10),99))/100))+5.0)/(1-(((MIN((M$10),99))/100))+5.0))))*100))/100))*0.96)),(((((MIN((M$9),99))/100))+5.0)/(1-(((MIN((M$9),99))/100))+5.0))))*100))/100))*0.96)),(((((MIN(($M$8),99))/100))+5.0)/(1-(((MIN(($M$8),99))/100))+5.0))))*100))/100))*0.96)),(((((MIN((M$7),99))/100))+5.0)/(1-(((MIN((M$7),99))/100))+5.0))))*100))/100))*0.96)),(((((MIN((M6),99))/100))+5.0)/(1-(((MIN((M6),99))/100))+5.0))))*100),0)</f>
        <v/>
      </c>
      <c r="N22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(33)/100))*0.96)),(((((MIN((M22),99))/100))+5.0)/(1-(((MIN((M22),99))/100))+5.0))))*100))/100))*0.96)),(((((MIN((L$22),99))/100))+5.0)/(1-(((MIN((L$22),99))/100))+5.0))))*100))/100))*0.96)),(((((MIN(($K$22),99))/100))+5.0)/(1-(((MIN(($K$22),99))/100))+5.0))))*100))/100))*0.96)),(((((MIN((J$22),99))/100))+5.0)/(1-(((MIN((J$22),99))/100))+5.0))))*100))/100))*0.96)),(((((MIN((I22),99))/100))+5.0)/(1-(((MIN((I22),99))/100))+5.0))))*100))/100))*0.96)),(((((MIN((H$22),99))/100))+5.0)/(1-(((MIN((H$22),99))/100))+5.0))))*100))/100))*0.96)),(((((MIN(($G$22),99))/100))+5.0)/(1-(((MIN(($G$22),99))/100))+5.0))))*100))/100))*0.96)),(((((MIN(($F$22),99))/100))+5.0)/(1-(((MIN(($F$22),99))/100))+5.0))))*100))/100))*0.96)),(((((MIN(($N21),99))/100))+5.0)/(1-(((MIN(($N21),99))/100))+5.0))))*100))/100))*0.96)),(((((MIN(($N20),99))/100))+5.0)/(1-(((MIN(($N20),99))/100))+5.0))))*100))/100))*0.96)),(((((MIN((N$19),99))/100))+5.0)/(1-(((MIN((N$19),99))/100))+5.0))))*100))/100))*0.96)),(((((MIN(($N$18),99))/100))+5.0)/(1-(((MIN(($N$18),99))/100))+5.0))))*100))/100))*0.96)),(((((MIN(($N17),99))/100))+5.0)/(1-(((MIN(($N17),99))/100))+5.0))))*100))/100))*0.96)),(((((MIN((N16),99))/100))+5.0)/(1-(((MIN((N16),99))/100))+5.0))))*100))/100))*0.96)),(((((MIN((N15),99))/100))+5.0)/(1-(((MIN((N15),99))/100))+5.0))))*100))/100))*0.96)),(((((MIN(($N14),99))/100))+5.0)/(1-(((MIN(($N14),99))/100))+5.0))))*100))/100))*0.96)),(((((MIN((N13),99))/100))+5.0)/(1-(((MIN((N13),99))/100))+5.0))))*100))/100))*0.96)),(((((MIN(($N12),99))/100))+5.0)/(1-(((MIN(($N12),99))/100))+5.0))))*100))/100))*0.96)),(((((MIN((N11),99))/100))+5.0)/(1-(((MIN((N11),99))/100))+5.0))))*100))/100))*0.96)),(((((MIN((N10),99))/100))+5.0)/(1-(((MIN((N10),99))/100))+5.0))))*100))/100))*0.96)),(((((MIN(($N$9),99))/100))+5.0)/(1-(((MIN(($N$9),99))/100))+5.0))))*100))/100))*0.96)),(((((MIN(($N8),99))/100))+5.0)/(1-(((MIN(($N8),99))/100))+5.0))))*100))/100))*0.96)),(((((MIN((N7),99))/100))+5.0)/(1-(((MIN((N7),99))/100))+5.0))))*100))/100))*0.96)),(((((MIN(($N$6),99))/100))+5.0)/(1-(((MIN(($N$6),99))/100))+5.0))))*100),0)</f>
        <v/>
      </c>
      <c r="O22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(94)/100))*0.96)),(((((MIN((N22),99))/100))+5.0)/(1-(((MIN((N22),99))/100))+5.0))))*100))/100))*0.96)),(((((MIN((M$22),99))/100))+5.0)/(1-(((MIN((M$22),99))/100))+5.0))))*100))/100))*0.96)),(((((MIN((L22),99))/100))+5.0)/(1-(((MIN((L22),99))/100))+5.0))))*100))/100))*0.96)),(((((MIN((K22),99))/100))+5.0)/(1-(((MIN((K22),99))/100))+5.0))))*100))/100))*0.96)),(((((MIN(($J22),99))/100))+5.0)/(1-(((MIN(($J22),99))/100))+5.0))))*100))/100))*0.96)),(((((MIN((I22),99))/100))+5.0)/(1-(((MIN((I22),99))/100))+5.0))))*100))/100))*0.96)),(((((MIN(($H22),99))/100))+5.0)/(1-(((MIN(($H22),99))/100))+5.0))))*100))/100))*0.96)),(((((MIN((G$22),99))/100))+5.0)/(1-(((MIN((G$22),99))/100))+5.0))))*100))/100))*0.96)),(((((MIN(($O21),99))/100))+5.0)/(1-(((MIN(($O21),99))/100))+5.0))))*100))/100))*0.96)),(((((MIN(($O$20),99))/100))+5.0)/(1-(((MIN(($O$20),99))/100))+5.0))))*100))/100))*0.96)),(((((MIN(($O$19),99))/100))+5.0)/(1-(((MIN(($O$19),99))/100))+5.0))))*100))/100))*0.96)),(((((MIN((O$18),99))/100))+5.0)/(1-(((MIN((O$18),99))/100))+5.0))))*100))/100))*0.96)),(((((MIN(($O$17),99))/100))+5.0)/(1-(((MIN(($O$17),99))/100))+5.0))))*100))/100))*0.96)),(((((MIN(($O$16),99))/100))+5.0)/(1-(((MIN(($O$16),99))/100))+5.0))))*100))/100))*0.96)),(((((MIN((O$15),99))/100))+5.0)/(1-(((MIN((O$15),99))/100))+5.0))))*100))/100))*0.96)),(((((MIN((O$14),99))/100))+5.0)/(1-(((MIN((O$14),99))/100))+5.0))))*100))/100))*0.96)),(((((MIN(($O$13),99))/100))+5.0)/(1-(((MIN(($O$13),99))/100))+5.0))))*100))/100))*0.96)),(((((MIN(($O12),99))/100))+5.0)/(1-(((MIN(($O12),99))/100))+5.0))))*100))/100))*0.96)),(((((MIN(($O$11),99))/100))+5.0)/(1-(((MIN(($O$11),99))/100))+5.0))))*100))/100))*0.96)),(((((MIN(($O$10),99))/100))+5.0)/(1-(((MIN(($O$10),99))/100))+5.0))))*100))/100))*0.96)),(((((MIN(($O$9),99))/100))+5.0)/(1-(((MIN(($O$9),99))/100))+5.0))))*100))/100))*0.96)),(((((MIN(($O$8),99))/100))+5.0)/(1-(((MIN(($O$8),99))/100))+5.0))))*100))/100))*0.96)),(((((MIN((O$7),99))/100))+5.0)/(1-(((MIN((O$7),99))/100))+5.0))))*100))/100))*0.96)),(((((MIN((O$6),99))/100))+5.0)/(1-(((MIN((O$6),99))/100))+5.0))))*100),0)</f>
        <v/>
      </c>
      <c r="P22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(30)/100))*0.96)),(((((MIN(($O22),99))/100))+5.0)/(1-(((MIN(($O22),99))/100))+5.0))))*100))/100))*0.96)),(((((MIN((N22),99))/100))+5.0)/(1-(((MIN((N22),99))/100))+5.0))))*100))/100))*0.96)),(((((MIN((M22),99))/100))+5.0)/(1-(((MIN((M22),99))/100))+5.0))))*100))/100))*0.96)),(((((MIN((L$22),99))/100))+5.0)/(1-(((MIN((L$22),99))/100))+5.0))))*100))/100))*0.96)),(((((MIN(($K22),99))/100))+5.0)/(1-(((MIN(($K22),99))/100))+5.0))))*100))/100))*0.96)),(((((MIN(($J22),99))/100))+5.0)/(1-(((MIN(($J22),99))/100))+5.0))))*100))/100))*0.96)),(((((MIN(($I22),99))/100))+5.0)/(1-(((MIN(($I22),99))/100))+5.0))))*100))/100))*0.96)),(((((MIN(($H$22),99))/100))+5.0)/(1-(((MIN(($H$22),99))/100))+5.0))))*100))/100))*0.96)),(((((MIN((P$21),99))/100))+5.0)/(1-(((MIN((P$21),99))/100))+5.0))))*100))/100))*0.96)),(((((MIN((P20),99))/100))+5.0)/(1-(((MIN((P20),99))/100))+5.0))))*100))/100))*0.96)),(((((MIN(($P$19),99))/100))+5.0)/(1-(((MIN(($P$19),99))/100))+5.0))))*100))/100))*0.96)),(((((MIN(($P$18),99))/100))+5.0)/(1-(((MIN(($P$18),99))/100))+5.0))))*100))/100))*0.96)),(((((MIN(($P17),99))/100))+5.0)/(1-(((MIN(($P17),99))/100))+5.0))))*100))/100))*0.96)),(((((MIN((P$16),99))/100))+5.0)/(1-(((MIN((P$16),99))/100))+5.0))))*100))/100))*0.96)),(((((MIN(($P$15),99))/100))+5.0)/(1-(((MIN(($P$15),99))/100))+5.0))))*100))/100))*0.96)),(((((MIN((P$14),99))/100))+5.0)/(1-(((MIN((P$14),99))/100))+5.0))))*100))/100))*0.96)),(((((MIN(($P$13),99))/100))+5.0)/(1-(((MIN(($P$13),99))/100))+5.0))))*100))/100))*0.96)),(((((MIN((P$12),99))/100))+5.0)/(1-(((MIN((P$12),99))/100))+5.0))))*100))/100))*0.96)),(((((MIN((P11),99))/100))+5.0)/(1-(((MIN((P11),99))/100))+5.0))))*100))/100))*0.96)),(((((MIN(($P10),99))/100))+5.0)/(1-(((MIN(($P10),99))/100))+5.0))))*100))/100))*0.96)),(((((MIN((P9),99))/100))+5.0)/(1-(((MIN((P9),99))/100))+5.0))))*100))/100))*0.96)),(((((MIN((P$8),99))/100))+5.0)/(1-(((MIN((P$8),99))/100))+5.0))))*100))/100))*0.96)),(((((MIN(($P7),99))/100))+5.0)/(1-(((MIN(($P7),99))/100))+5.0))))*100))/100))*0.96)),(((((MIN(($P$6),99))/100))+5.0)/(1-(((MIN(($P$6),99))/100))+5.0))))*100),0)</f>
        <v/>
      </c>
      <c r="Q22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(78)/100))*0.96)),(((((MIN((P$22),99))/100))+5.0)/(1-(((MIN((P$22),99))/100))+5.0))))*100))/100))*0.96)),(((((MIN((O$22),99))/100))+5.0)/(1-(((MIN((O$22),99))/100))+5.0))))*100))/100))*0.96)),(((((MIN((N22),99))/100))+5.0)/(1-(((MIN((N22),99))/100))+5.0))))*100))/100))*0.96)),(((((MIN(($M22),99))/100))+5.0)/(1-(((MIN(($M22),99))/100))+5.0))))*100))/100))*0.96)),(((((MIN((L22),99))/100))+5.0)/(1-(((MIN((L22),99))/100))+5.0))))*100))/100))*0.96)),(((((MIN(($K$22),99))/100))+5.0)/(1-(((MIN(($K$22),99))/100))+5.0))))*100))/100))*0.96)),(((((MIN(($J22),99))/100))+5.0)/(1-(((MIN(($J22),99))/100))+5.0))))*100))/100))*0.96)),(((((MIN(($I$22),99))/100))+5.0)/(1-(((MIN(($I$22),99))/100))+5.0))))*100))/100))*0.96)),(((((MIN((Q21),99))/100))+5.0)/(1-(((MIN((Q21),99))/100))+5.0))))*100))/100))*0.96)),(((((MIN((Q$20),99))/100))+5.0)/(1-(((MIN((Q$20),99))/100))+5.0))))*100))/100))*0.96)),(((((MIN(($Q19),99))/100))+5.0)/(1-(((MIN(($Q19),99))/100))+5.0))))*100))/100))*0.96)),(((((MIN((Q$18),99))/100))+5.0)/(1-(((MIN((Q$18),99))/100))+5.0))))*100))/100))*0.96)),(((((MIN(($Q17),99))/100))+5.0)/(1-(((MIN(($Q17),99))/100))+5.0))))*100))/100))*0.96)),(((((MIN((Q16),99))/100))+5.0)/(1-(((MIN((Q16),99))/100))+5.0))))*100))/100))*0.96)),(((((MIN(($Q15),99))/100))+5.0)/(1-(((MIN(($Q15),99))/100))+5.0))))*100))/100))*0.96)),(((((MIN((Q14),99))/100))+5.0)/(1-(((MIN((Q14),99))/100))+5.0))))*100))/100))*0.96)),(((((MIN(($Q13),99))/100))+5.0)/(1-(((MIN(($Q13),99))/100))+5.0))))*100))/100))*0.96)),(((((MIN(($Q12),99))/100))+5.0)/(1-(((MIN(($Q12),99))/100))+5.0))))*100))/100))*0.96)),(((((MIN(($Q11),99))/100))+5.0)/(1-(((MIN(($Q11),99))/100))+5.0))))*100))/100))*0.96)),(((((MIN(($Q10),99))/100))+5.0)/(1-(((MIN(($Q10),99))/100))+5.0))))*100))/100))*0.96)),(((((MIN(($Q$9),99))/100))+5.0)/(1-(((MIN(($Q$9),99))/100))+5.0))))*100))/100))*0.96)),(((((MIN(($Q$8),99))/100))+5.0)/(1-(((MIN(($Q$8),99))/100))+5.0))))*100))/100))*0.96)),(((((MIN((Q7),99))/100))+5.0)/(1-(((MIN((Q7),99))/100))+5.0))))*100))/100))*0.96)),(((((MIN((Q6),99))/100))+5.0)/(1-(((MIN((Q6),99))/100))+5.0))))*100),0)</f>
        <v/>
      </c>
      <c r="R22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(47)/100))*0.96)),(((((MIN((Q22),99))/100))+5.0)/(1-(((MIN((Q22),99))/100))+5.0))))*100))/100))*0.96)),(((((MIN(($P22),99))/100))+5.0)/(1-(((MIN(($P22),99))/100))+5.0))))*100))/100))*0.96)),(((((MIN((O22),99))/100))+5.0)/(1-(((MIN((O22),99))/100))+5.0))))*100))/100))*0.96)),(((((MIN((N22),99))/100))+5.0)/(1-(((MIN((N22),99))/100))+5.0))))*100))/100))*0.96)),(((((MIN((M22),99))/100))+5.0)/(1-(((MIN((M22),99))/100))+5.0))))*100))/100))*0.96)),(((((MIN((L22),99))/100))+5.0)/(1-(((MIN((L22),99))/100))+5.0))))*100))/100))*0.96)),(((((MIN((K22),99))/100))+5.0)/(1-(((MIN((K22),99))/100))+5.0))))*100))/100))*0.96)),(((((MIN(($J$22),99))/100))+5.0)/(1-(((MIN(($J$22),99))/100))+5.0))))*100))/100))*0.96)),(((((MIN((R21),99))/100))+5.0)/(1-(((MIN((R21),99))/100))+5.0))))*100))/100))*0.96)),(((((MIN((R20),99))/100))+5.0)/(1-(((MIN((R20),99))/100))+5.0))))*100))/100))*0.96)),(((((MIN(($R$19),99))/100))+5.0)/(1-(((MIN(($R$19),99))/100))+5.0))))*100))/100))*0.96)),(((((MIN((R18),99))/100))+5.0)/(1-(((MIN((R18),99))/100))+5.0))))*100))/100))*0.96)),(((((MIN((R$17),99))/100))+5.0)/(1-(((MIN((R$17),99))/100))+5.0))))*100))/100))*0.96)),(((((MIN(($R$16),99))/100))+5.0)/(1-(((MIN(($R$16),99))/100))+5.0))))*100))/100))*0.96)),(((((MIN((R15),99))/100))+5.0)/(1-(((MIN((R15),99))/100))+5.0))))*100))/100))*0.96)),(((((MIN((R14),99))/100))+5.0)/(1-(((MIN((R14),99))/100))+5.0))))*100))/100))*0.96)),(((((MIN(($R$13),99))/100))+5.0)/(1-(((MIN(($R$13),99))/100))+5.0))))*100))/100))*0.96)),(((((MIN((R12),99))/100))+5.0)/(1-(((MIN((R12),99))/100))+5.0))))*100))/100))*0.96)),(((((MIN((R$11),99))/100))+5.0)/(1-(((MIN((R$11),99))/100))+5.0))))*100))/100))*0.96)),(((((MIN((R$10),99))/100))+5.0)/(1-(((MIN((R$10),99))/100))+5.0))))*100))/100))*0.96)),(((((MIN((R9),99))/100))+5.0)/(1-(((MIN((R9),99))/100))+5.0))))*100))/100))*0.96)),(((((MIN(($R8),99))/100))+5.0)/(1-(((MIN(($R8),99))/100))+5.0))))*100))/100))*0.96)),(((((MIN((R7),99))/100))+5.0)/(1-(((MIN((R7),99))/100))+5.0))))*100))/100))*0.96)),(((((MIN((R6),99))/100))+5.0)/(1-(((MIN((R6),99))/100))+5.0))))*100),0)</f>
        <v/>
      </c>
      <c r="S22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(64)/100))*0.96)),(((((MIN(($R$22),99))/100))+5.0)/(1-(((MIN(($R$22),99))/100))+5.0))))*100))/100))*0.96)),(((((MIN((Q$22),99))/100))+5.0)/(1-(((MIN((Q$22),99))/100))+5.0))))*100))/100))*0.96)),(((((MIN((P22),99))/100))+5.0)/(1-(((MIN((P22),99))/100))+5.0))))*100))/100))*0.96)),(((((MIN(($O22),99))/100))+5.0)/(1-(((MIN(($O22),99))/100))+5.0))))*100))/100))*0.96)),(((((MIN((N$22),99))/100))+5.0)/(1-(((MIN((N$22),99))/100))+5.0))))*100))/100))*0.96)),(((((MIN((M$22),99))/100))+5.0)/(1-(((MIN((M$22),99))/100))+5.0))))*100))/100))*0.96)),(((((MIN(($L22),99))/100))+5.0)/(1-(((MIN(($L22),99))/100))+5.0))))*100))/100))*0.96)),(((((MIN(($K$22),99))/100))+5.0)/(1-(((MIN(($K$22),99))/100))+5.0))))*100))/100))*0.96)),(((((MIN(($S$21),99))/100))+5.0)/(1-(((MIN(($S$21),99))/100))+5.0))))*100))/100))*0.96)),(((((MIN((S20),99))/100))+5.0)/(1-(((MIN((S20),99))/100))+5.0))))*100))/100))*0.96)),(((((MIN(($S$19),99))/100))+5.0)/(1-(((MIN(($S$19),99))/100))+5.0))))*100))/100))*0.96)),(((((MIN((S18),99))/100))+5.0)/(1-(((MIN((S18),99))/100))+5.0))))*100))/100))*0.96)),(((((MIN(($S$17),99))/100))+5.0)/(1-(((MIN(($S$17),99))/100))+5.0))))*100))/100))*0.96)),(((((MIN((S$16),99))/100))+5.0)/(1-(((MIN((S$16),99))/100))+5.0))))*100))/100))*0.96)),(((((MIN(($S$15),99))/100))+5.0)/(1-(((MIN(($S$15),99))/100))+5.0))))*100))/100))*0.96)),(((((MIN((S$14),99))/100))+5.0)/(1-(((MIN((S$14),99))/100))+5.0))))*100))/100))*0.96)),(((((MIN(($S$13),99))/100))+5.0)/(1-(((MIN(($S$13),99))/100))+5.0))))*100))/100))*0.96)),(((((MIN((S$12),99))/100))+5.0)/(1-(((MIN((S$12),99))/100))+5.0))))*100))/100))*0.96)),(((((MIN((S$11),99))/100))+5.0)/(1-(((MIN((S$11),99))/100))+5.0))))*100))/100))*0.96)),(((((MIN((S$10),99))/100))+5.0)/(1-(((MIN((S$10),99))/100))+5.0))))*100))/100))*0.96)),(((((MIN((S$9),99))/100))+5.0)/(1-(((MIN((S$9),99))/100))+5.0))))*100))/100))*0.96)),(((((MIN(($S8),99))/100))+5.0)/(1-(((MIN(($S8),99))/100))+5.0))))*100))/100))*0.96)),(((((MIN(($S7),99))/100))+5.0)/(1-(((MIN(($S7),99))/100))+5.0))))*100))/100))*0.96)),(((((MIN((S$6),99))/100))+5.0)/(1-(((MIN((S$6),99))/100))+5.0))))*100),0)</f>
        <v/>
      </c>
      <c r="T22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(68)/100))*0.96)),(((((MIN(($S22),99))/100))+5.0)/(1-(((MIN(($S22),99))/100))+5.0))))*100))/100))*0.96)),(((((MIN((R22),99))/100))+5.0)/(1-(((MIN((R22),99))/100))+5.0))))*100))/100))*0.96)),(((((MIN((Q$22),99))/100))+5.0)/(1-(((MIN((Q$22),99))/100))+5.0))))*100))/100))*0.96)),(((((MIN(($P22),99))/100))+5.0)/(1-(((MIN(($P22),99))/100))+5.0))))*100))/100))*0.96)),(((((MIN((O$22),99))/100))+5.0)/(1-(((MIN((O$22),99))/100))+5.0))))*100))/100))*0.96)),(((((MIN(($N$22),99))/100))+5.0)/(1-(((MIN(($N$22),99))/100))+5.0))))*100))/100))*0.96)),(((((MIN(($M22),99))/100))+5.0)/(1-(((MIN(($M22),99))/100))+5.0))))*100))/100))*0.96)),(((((MIN((L22),99))/100))+5.0)/(1-(((MIN((L22),99))/100))+5.0))))*100))/100))*0.96)),(((((MIN((T$21),99))/100))+5.0)/(1-(((MIN((T$21),99))/100))+5.0))))*100))/100))*0.96)),(((((MIN(($T20),99))/100))+5.0)/(1-(((MIN(($T20),99))/100))+5.0))))*100))/100))*0.96)),(((((MIN((T19),99))/100))+5.0)/(1-(((MIN((T19),99))/100))+5.0))))*100))/100))*0.96)),(((((MIN((T$18),99))/100))+5.0)/(1-(((MIN((T$18),99))/100))+5.0))))*100))/100))*0.96)),(((((MIN((T17),99))/100))+5.0)/(1-(((MIN((T17),99))/100))+5.0))))*100))/100))*0.96)),(((((MIN(($T$16),99))/100))+5.0)/(1-(((MIN(($T$16),99))/100))+5.0))))*100))/100))*0.96)),(((((MIN((T15),99))/100))+5.0)/(1-(((MIN((T15),99))/100))+5.0))))*100))/100))*0.96)),(((((MIN((T14),99))/100))+5.0)/(1-(((MIN((T14),99))/100))+5.0))))*100))/100))*0.96)),(((((MIN(($T13),99))/100))+5.0)/(1-(((MIN(($T13),99))/100))+5.0))))*100))/100))*0.96)),(((((MIN(($T$12),99))/100))+5.0)/(1-(((MIN(($T$12),99))/100))+5.0))))*100))/100))*0.96)),(((((MIN(($T$11),99))/100))+5.0)/(1-(((MIN(($T$11),99))/100))+5.0))))*100))/100))*0.96)),(((((MIN((T$10),99))/100))+5.0)/(1-(((MIN((T$10),99))/100))+5.0))))*100))/100))*0.96)),(((((MIN((T$9),99))/100))+5.0)/(1-(((MIN((T$9),99))/100))+5.0))))*100))/100))*0.96)),(((((MIN(($T$8),99))/100))+5.0)/(1-(((MIN(($T$8),99))/100))+5.0))))*100))/100))*0.96)),(((((MIN(($T7),99))/100))+5.0)/(1-(((MIN(($T7),99))/100))+5.0))))*100))/100))*0.96)),(((((MIN(($T$6),99))/100))+5.0)/(1-(((MIN(($T$6),99))/100))+5.0))))*100),0)</f>
        <v/>
      </c>
    </row>
    <row r="23">
      <c r="A2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(17)/100))*0.96)),(((((MIN((A$22),99))/100))+5.0)/(1-(((MIN((A$22),99))/100))+5.0))))*100))/100))*0.96)),(((((MIN((A21),99))/100))+5.0)/(1-(((MIN((A21),99))/100))+5.0))))*100))/100))*0.96)),(((((MIN(($A20),99))/100))+5.0)/(1-(((MIN(($A20),99))/100))+5.0))))*100))/100))*0.96)),(((((MIN(($A19),99))/100))+5.0)/(1-(((MIN(($A19),99))/100))+5.0))))*100))/100))*0.96)),(((((MIN((A$18),99))/100))+5.0)/(1-(((MIN((A$18),99))/100))+5.0))))*100))/100))*0.96)),(((((MIN((A17),99))/100))+5.0)/(1-(((MIN((A17),99))/100))+5.0))))*100))/100))*0.96)),(((((MIN(($A16),99))/100))+5.0)/(1-(((MIN(($A16),99))/100))+5.0))))*100))/100))*0.96)),(((((MIN(($A15),99))/100))+5.0)/(1-(((MIN(($A15),99))/100))+5.0))))*100))/100))*0.96)),(((((MIN((A$14),99))/100))+5.0)/(1-(((MIN((A$14),99))/100))+5.0))))*100))/100))*0.96)),(((((MIN(($A13),99))/100))+5.0)/(1-(((MIN(($A13),99))/100))+5.0))))*100))/100))*0.96)),(((((MIN(($A$12),99))/100))+5.0)/(1-(((MIN(($A$12),99))/100))+5.0))))*100))/100))*0.96)),(((((MIN(($A$11),99))/100))+5.0)/(1-(((MIN(($A$11),99))/100))+5.0))))*100))/100))*0.96)),(((((MIN(($A10),99))/100))+5.0)/(1-(((MIN(($A10),99))/100))+5.0))))*100))/100))*0.96)),(((((MIN(($A9),99))/100))+5.0)/(1-(((MIN(($A9),99))/100))+5.0))))*100))/100))*0.96)),(((((MIN(($A8),99))/100))+5.0)/(1-(((MIN(($A8),99))/100))+5.0))))*100))/100))*0.96)),(((((MIN(($A$7),99))/100))+5.0)/(1-(((MIN(($A$7),99))/100))+5.0))))*100),0)</f>
        <v/>
      </c>
      <c r="B2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(34)/100))*0.96)),(((((MIN((A$23),99))/100))+5.0)/(1-(((MIN((A$23),99))/100))+5.0))))*100))/100))*0.96)),(((((MIN(($B22),99))/100))+5.0)/(1-(((MIN(($B22),99))/100))+5.0))))*100))/100))*0.96)),(((((MIN((B$21),99))/100))+5.0)/(1-(((MIN((B$21),99))/100))+5.0))))*100))/100))*0.96)),(((((MIN((B20),99))/100))+5.0)/(1-(((MIN((B20),99))/100))+5.0))))*100))/100))*0.96)),(((((MIN((B19),99))/100))+5.0)/(1-(((MIN((B19),99))/100))+5.0))))*100))/100))*0.96)),(((((MIN(($B18),99))/100))+5.0)/(1-(((MIN(($B18),99))/100))+5.0))))*100))/100))*0.96)),(((((MIN(($B$17),99))/100))+5.0)/(1-(((MIN(($B$17),99))/100))+5.0))))*100))/100))*0.96)),(((((MIN(($B$16),99))/100))+5.0)/(1-(((MIN(($B$16),99))/100))+5.0))))*100))/100))*0.96)),(((((MIN((B$15),99))/100))+5.0)/(1-(((MIN((B$15),99))/100))+5.0))))*100))/100))*0.96)),(((((MIN((B14),99))/100))+5.0)/(1-(((MIN((B14),99))/100))+5.0))))*100))/100))*0.96)),(((((MIN((B13),99))/100))+5.0)/(1-(((MIN((B13),99))/100))+5.0))))*100))/100))*0.96)),(((((MIN((B12),99))/100))+5.0)/(1-(((MIN((B12),99))/100))+5.0))))*100))/100))*0.96)),(((((MIN(($B$11),99))/100))+5.0)/(1-(((MIN(($B$11),99))/100))+5.0))))*100))/100))*0.96)),(((((MIN(($B10),99))/100))+5.0)/(1-(((MIN(($B10),99))/100))+5.0))))*100))/100))*0.96)),(((((MIN(($B9),99))/100))+5.0)/(1-(((MIN(($B9),99))/100))+5.0))))*100))/100))*0.96)),(((((MIN(($B8),99))/100))+5.0)/(1-(((MIN(($B8),99))/100))+5.0))))*100))/100))*0.96)),(((((MIN(($B$7),99))/100))+5.0)/(1-(((MIN(($B$7),99))/100))+5.0))))*100),0)</f>
        <v/>
      </c>
      <c r="C2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(67)/100))*0.96)),(((((MIN(($B$23),99))/100))+5.0)/(1-(((MIN(($B$23),99))/100))+5.0))))*100))/100))*0.96)),(((((MIN((A$23),99))/100))+5.0)/(1-(((MIN((A$23),99))/100))+5.0))))*100))/100))*0.96)),(((((MIN((C22),99))/100))+5.0)/(1-(((MIN((C22),99))/100))+5.0))))*100))/100))*0.96)),(((((MIN(($C$21),99))/100))+5.0)/(1-(((MIN(($C$21),99))/100))+5.0))))*100))/100))*0.96)),(((((MIN(($C$20),99))/100))+5.0)/(1-(((MIN(($C$20),99))/100))+5.0))))*100))/100))*0.96)),(((((MIN(($C$19),99))/100))+5.0)/(1-(((MIN(($C$19),99))/100))+5.0))))*100))/100))*0.96)),(((((MIN(($C$18),99))/100))+5.0)/(1-(((MIN(($C$18),99))/100))+5.0))))*100))/100))*0.96)),(((((MIN(($C$17),99))/100))+5.0)/(1-(((MIN(($C$17),99))/100))+5.0))))*100))/100))*0.96)),(((((MIN(($C$16),99))/100))+5.0)/(1-(((MIN(($C$16),99))/100))+5.0))))*100))/100))*0.96)),(((((MIN((C$15),99))/100))+5.0)/(1-(((MIN((C$15),99))/100))+5.0))))*100))/100))*0.96)),(((((MIN((C$14),99))/100))+5.0)/(1-(((MIN((C$14),99))/100))+5.0))))*100))/100))*0.96)),(((((MIN(($C$13),99))/100))+5.0)/(1-(((MIN(($C$13),99))/100))+5.0))))*100))/100))*0.96)),(((((MIN((C12),99))/100))+5.0)/(1-(((MIN((C12),99))/100))+5.0))))*100))/100))*0.96)),(((((MIN((C11),99))/100))+5.0)/(1-(((MIN((C11),99))/100))+5.0))))*100))/100))*0.96)),(((((MIN(($C10),99))/100))+5.0)/(1-(((MIN(($C10),99))/100))+5.0))))*100))/100))*0.96)),(((((MIN(($C9),99))/100))+5.0)/(1-(((MIN(($C9),99))/100))+5.0))))*100))/100))*0.96)),(((((MIN((C$8),99))/100))+5.0)/(1-(((MIN((C$8),99))/100))+5.0))))*100))/100))*0.96)),(((((MIN(($C$7),99))/100))+5.0)/(1-(((MIN(($C$7),99))/100))+5.0))))*100),0)</f>
        <v/>
      </c>
      <c r="D2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(62)/100))*0.96)),(((((MIN((C23),99))/100))+5.0)/(1-(((MIN((C23),99))/100))+5.0))))*100))/100))*0.96)),(((((MIN((B23),99))/100))+5.0)/(1-(((MIN((B23),99))/100))+5.0))))*100))/100))*0.96)),(((((MIN((A23),99))/100))+5.0)/(1-(((MIN((A23),99))/100))+5.0))))*100))/100))*0.96)),(((((MIN(($D22),99))/100))+5.0)/(1-(((MIN(($D22),99))/100))+5.0))))*100))/100))*0.96)),(((((MIN((D$21),99))/100))+5.0)/(1-(((MIN((D$21),99))/100))+5.0))))*100))/100))*0.96)),(((((MIN((D$20),99))/100))+5.0)/(1-(((MIN((D$20),99))/100))+5.0))))*100))/100))*0.96)),(((((MIN(($D19),99))/100))+5.0)/(1-(((MIN(($D19),99))/100))+5.0))))*100))/100))*0.96)),(((((MIN((D18),99))/100))+5.0)/(1-(((MIN((D18),99))/100))+5.0))))*100))/100))*0.96)),(((((MIN((D$17),99))/100))+5.0)/(1-(((MIN((D$17),99))/100))+5.0))))*100))/100))*0.96)),(((((MIN(($D16),99))/100))+5.0)/(1-(((MIN(($D16),99))/100))+5.0))))*100))/100))*0.96)),(((((MIN(($D$15),99))/100))+5.0)/(1-(((MIN(($D$15),99))/100))+5.0))))*100))/100))*0.96)),(((((MIN((D$14),99))/100))+5.0)/(1-(((MIN((D$14),99))/100))+5.0))))*100))/100))*0.96)),(((((MIN((D$13),99))/100))+5.0)/(1-(((MIN((D$13),99))/100))+5.0))))*100))/100))*0.96)),(((((MIN((D$12),99))/100))+5.0)/(1-(((MIN((D$12),99))/100))+5.0))))*100))/100))*0.96)),(((((MIN((D$11),99))/100))+5.0)/(1-(((MIN((D$11),99))/100))+5.0))))*100))/100))*0.96)),(((((MIN(($D$10),99))/100))+5.0)/(1-(((MIN(($D$10),99))/100))+5.0))))*100))/100))*0.96)),(((((MIN((D$9),99))/100))+5.0)/(1-(((MIN((D$9),99))/100))+5.0))))*100))/100))*0.96)),(((((MIN(($D8),99))/100))+5.0)/(1-(((MIN(($D8),99))/100))+5.0))))*100))/100))*0.96)),(((((MIN((D$7),99))/100))+5.0)/(1-(((MIN((D$7),99))/100))+5.0))))*100),0)</f>
        <v/>
      </c>
      <c r="E2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(65)/100))*0.96)),(((((MIN((D$23),99))/100))+5.0)/(1-(((MIN((D$23),99))/100))+5.0))))*100))/100))*0.96)),(((((MIN(($C$23),99))/100))+5.0)/(1-(((MIN(($C$23),99))/100))+5.0))))*100))/100))*0.96)),(((((MIN(($B23),99))/100))+5.0)/(1-(((MIN(($B23),99))/100))+5.0))))*100))/100))*0.96)),(((((MIN(($A$23),99))/100))+5.0)/(1-(((MIN(($A$23),99))/100))+5.0))))*100))/100))*0.96)),(((((MIN((E22),99))/100))+5.0)/(1-(((MIN((E22),99))/100))+5.0))))*100))/100))*0.96)),(((((MIN(($E$21),99))/100))+5.0)/(1-(((MIN(($E$21),99))/100))+5.0))))*100))/100))*0.96)),(((((MIN((E$20),99))/100))+5.0)/(1-(((MIN((E$20),99))/100))+5.0))))*100))/100))*0.96)),(((((MIN(($E19),99))/100))+5.0)/(1-(((MIN(($E19),99))/100))+5.0))))*100))/100))*0.96)),(((((MIN((E18),99))/100))+5.0)/(1-(((MIN((E18),99))/100))+5.0))))*100))/100))*0.96)),(((((MIN(($E$17),99))/100))+5.0)/(1-(((MIN(($E$17),99))/100))+5.0))))*100))/100))*0.96)),(((((MIN(($E16),99))/100))+5.0)/(1-(((MIN(($E16),99))/100))+5.0))))*100))/100))*0.96)),(((((MIN((E$15),99))/100))+5.0)/(1-(((MIN((E$15),99))/100))+5.0))))*100))/100))*0.96)),(((((MIN((E14),99))/100))+5.0)/(1-(((MIN((E14),99))/100))+5.0))))*100))/100))*0.96)),(((((MIN((E$13),99))/100))+5.0)/(1-(((MIN((E$13),99))/100))+5.0))))*100))/100))*0.96)),(((((MIN(($E12),99))/100))+5.0)/(1-(((MIN(($E12),99))/100))+5.0))))*100))/100))*0.96)),(((((MIN((E11),99))/100))+5.0)/(1-(((MIN((E11),99))/100))+5.0))))*100))/100))*0.96)),(((((MIN(($E$10),99))/100))+5.0)/(1-(((MIN(($E$10),99))/100))+5.0))))*100))/100))*0.96)),(((((MIN(($E$9),99))/100))+5.0)/(1-(((MIN(($E$9),99))/100))+5.0))))*100))/100))*0.96)),(((((MIN((E8),99))/100))+5.0)/(1-(((MIN((E8),99))/100))+5.0))))*100))/100))*0.96)),(((((MIN((E$7),99))/100))+5.0)/(1-(((MIN((E$7),99))/100))+5.0))))*100),0)</f>
        <v/>
      </c>
      <c r="F2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(53)/100))*0.96)),(((((MIN((E$23),99))/100))+5.0)/(1-(((MIN((E$23),99))/100))+5.0))))*100))/100))*0.96)),(((((MIN((D$23),99))/100))+5.0)/(1-(((MIN((D$23),99))/100))+5.0))))*100))/100))*0.96)),(((((MIN(($C$23),99))/100))+5.0)/(1-(((MIN(($C$23),99))/100))+5.0))))*100))/100))*0.96)),(((((MIN((B$23),99))/100))+5.0)/(1-(((MIN((B$23),99))/100))+5.0))))*100))/100))*0.96)),(((((MIN((A23),99))/100))+5.0)/(1-(((MIN((A23),99))/100))+5.0))))*100))/100))*0.96)),(((((MIN(($F22),99))/100))+5.0)/(1-(((MIN(($F22),99))/100))+5.0))))*100))/100))*0.96)),(((((MIN((F21),99))/100))+5.0)/(1-(((MIN((F21),99))/100))+5.0))))*100))/100))*0.96)),(((((MIN((F$20),99))/100))+5.0)/(1-(((MIN((F$20),99))/100))+5.0))))*100))/100))*0.96)),(((((MIN(($F19),99))/100))+5.0)/(1-(((MIN(($F19),99))/100))+5.0))))*100))/100))*0.96)),(((((MIN((F$18),99))/100))+5.0)/(1-(((MIN((F$18),99))/100))+5.0))))*100))/100))*0.96)),(((((MIN((F17),99))/100))+5.0)/(1-(((MIN((F17),99))/100))+5.0))))*100))/100))*0.96)),(((((MIN((F16),99))/100))+5.0)/(1-(((MIN((F16),99))/100))+5.0))))*100))/100))*0.96)),(((((MIN((F15),99))/100))+5.0)/(1-(((MIN((F15),99))/100))+5.0))))*100))/100))*0.96)),(((((MIN(($F$14),99))/100))+5.0)/(1-(((MIN(($F$14),99))/100))+5.0))))*100))/100))*0.96)),(((((MIN(($F$13),99))/100))+5.0)/(1-(((MIN(($F$13),99))/100))+5.0))))*100))/100))*0.96)),(((((MIN((F12),99))/100))+5.0)/(1-(((MIN((F12),99))/100))+5.0))))*100))/100))*0.96)),(((((MIN((F11),99))/100))+5.0)/(1-(((MIN((F11),99))/100))+5.0))))*100))/100))*0.96)),(((((MIN((F$10),99))/100))+5.0)/(1-(((MIN((F$10),99))/100))+5.0))))*100))/100))*0.96)),(((((MIN((F9),99))/100))+5.0)/(1-(((MIN((F9),99))/100))+5.0))))*100))/100))*0.96)),(((((MIN((F8),99))/100))+5.0)/(1-(((MIN((F8),99))/100))+5.0))))*100))/100))*0.96)),(((((MIN(($F$7),99))/100))+5.0)/(1-(((MIN(($F$7),99))/100))+5.0))))*100),0)</f>
        <v/>
      </c>
      <c r="G2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(14)/100))*0.96)),(((((MIN(($F$23),99))/100))+5.0)/(1-(((MIN(($F$23),99))/100))+5.0))))*100))/100))*0.96)),(((((MIN(($E23),99))/100))+5.0)/(1-(((MIN(($E23),99))/100))+5.0))))*100))/100))*0.96)),(((((MIN((D$23),99))/100))+5.0)/(1-(((MIN((D$23),99))/100))+5.0))))*100))/100))*0.96)),(((((MIN(($C23),99))/100))+5.0)/(1-(((MIN(($C23),99))/100))+5.0))))*100))/100))*0.96)),(((((MIN(($B$23),99))/100))+5.0)/(1-(((MIN(($B$23),99))/100))+5.0))))*100))/100))*0.96)),(((((MIN(($A23),99))/100))+5.0)/(1-(((MIN(($A23),99))/100))+5.0))))*100))/100))*0.96)),(((((MIN(($G22),99))/100))+5.0)/(1-(((MIN(($G22),99))/100))+5.0))))*100))/100))*0.96)),(((((MIN(($G21),99))/100))+5.0)/(1-(((MIN(($G21),99))/100))+5.0))))*100))/100))*0.96)),(((((MIN(($G20),99))/100))+5.0)/(1-(((MIN(($G20),99))/100))+5.0))))*100))/100))*0.96)),(((((MIN(($G19),99))/100))+5.0)/(1-(((MIN(($G19),99))/100))+5.0))))*100))/100))*0.96)),(((((MIN((G$18),99))/100))+5.0)/(1-(((MIN((G$18),99))/100))+5.0))))*100))/100))*0.96)),(((((MIN((G17),99))/100))+5.0)/(1-(((MIN((G17),99))/100))+5.0))))*100))/100))*0.96)),(((((MIN((G16),99))/100))+5.0)/(1-(((MIN((G16),99))/100))+5.0))))*100))/100))*0.96)),(((((MIN((G$15),99))/100))+5.0)/(1-(((MIN((G$15),99))/100))+5.0))))*100))/100))*0.96)),(((((MIN((G14),99))/100))+5.0)/(1-(((MIN((G14),99))/100))+5.0))))*100))/100))*0.96)),(((((MIN((G13),99))/100))+5.0)/(1-(((MIN((G13),99))/100))+5.0))))*100))/100))*0.96)),(((((MIN(($G$12),99))/100))+5.0)/(1-(((MIN(($G$12),99))/100))+5.0))))*100))/100))*0.96)),(((((MIN(($G11),99))/100))+5.0)/(1-(((MIN(($G11),99))/100))+5.0))))*100))/100))*0.96)),(((((MIN(($G10),99))/100))+5.0)/(1-(((MIN(($G10),99))/100))+5.0))))*100))/100))*0.96)),(((((MIN(($G$9),99))/100))+5.0)/(1-(((MIN(($G$9),99))/100))+5.0))))*100))/100))*0.96)),(((((MIN((G8),99))/100))+5.0)/(1-(((MIN((G8),99))/100))+5.0))))*100))/100))*0.96)),(((((MIN((G$7),99))/100))+5.0)/(1-(((MIN((G$7),99))/100))+5.0))))*100),0)</f>
        <v/>
      </c>
      <c r="H2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(62)/100))*0.96)),(((((MIN((G$23),99))/100))+5.0)/(1-(((MIN((G$23),99))/100))+5.0))))*100))/100))*0.96)),(((((MIN(($F$23),99))/100))+5.0)/(1-(((MIN(($F$23),99))/100))+5.0))))*100))/100))*0.96)),(((((MIN(($E23),99))/100))+5.0)/(1-(((MIN(($E23),99))/100))+5.0))))*100))/100))*0.96)),(((((MIN((D23),99))/100))+5.0)/(1-(((MIN((D23),99))/100))+5.0))))*100))/100))*0.96)),(((((MIN(($C23),99))/100))+5.0)/(1-(((MIN(($C23),99))/100))+5.0))))*100))/100))*0.96)),(((((MIN(($B23),99))/100))+5.0)/(1-(((MIN(($B23),99))/100))+5.0))))*100))/100))*0.96)),(((((MIN((A$23),99))/100))+5.0)/(1-(((MIN((A$23),99))/100))+5.0))))*100))/100))*0.96)),(((((MIN((H22),99))/100))+5.0)/(1-(((MIN((H22),99))/100))+5.0))))*100))/100))*0.96)),(((((MIN((H$21),99))/100))+5.0)/(1-(((MIN((H$21),99))/100))+5.0))))*100))/100))*0.96)),(((((MIN(($H$20),99))/100))+5.0)/(1-(((MIN(($H$20),99))/100))+5.0))))*100))/100))*0.96)),(((((MIN((H$19),99))/100))+5.0)/(1-(((MIN((H$19),99))/100))+5.0))))*100))/100))*0.96)),(((((MIN((H$18),99))/100))+5.0)/(1-(((MIN((H$18),99))/100))+5.0))))*100))/100))*0.96)),(((((MIN((H$17),99))/100))+5.0)/(1-(((MIN((H$17),99))/100))+5.0))))*100))/100))*0.96)),(((((MIN(($H$16),99))/100))+5.0)/(1-(((MIN(($H$16),99))/100))+5.0))))*100))/100))*0.96)),(((((MIN(($H$15),99))/100))+5.0)/(1-(((MIN(($H$15),99))/100))+5.0))))*100))/100))*0.96)),(((((MIN(($H$14),99))/100))+5.0)/(1-(((MIN(($H$14),99))/100))+5.0))))*100))/100))*0.96)),(((((MIN((H13),99))/100))+5.0)/(1-(((MIN((H13),99))/100))+5.0))))*100))/100))*0.96)),(((((MIN(($H$12),99))/100))+5.0)/(1-(((MIN(($H$12),99))/100))+5.0))))*100))/100))*0.96)),(((((MIN((H$11),99))/100))+5.0)/(1-(((MIN((H$11),99))/100))+5.0))))*100))/100))*0.96)),(((((MIN((H10),99))/100))+5.0)/(1-(((MIN((H10),99))/100))+5.0))))*100))/100))*0.96)),(((((MIN(($H9),99))/100))+5.0)/(1-(((MIN(($H9),99))/100))+5.0))))*100))/100))*0.96)),(((((MIN(($H8),99))/100))+5.0)/(1-(((MIN(($H8),99))/100))+5.0))))*100))/100))*0.96)),(((((MIN(($H7),99))/100))+5.0)/(1-(((MIN(($H7),99))/100))+5.0))))*100),0)</f>
        <v/>
      </c>
      <c r="I2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(43)/100))*0.96)),(((((MIN(($H$23),99))/100))+5.0)/(1-(((MIN(($H$23),99))/100))+5.0))))*100))/100))*0.96)),(((((MIN((G23),99))/100))+5.0)/(1-(((MIN((G23),99))/100))+5.0))))*100))/100))*0.96)),(((((MIN(($F$23),99))/100))+5.0)/(1-(((MIN(($F$23),99))/100))+5.0))))*100))/100))*0.96)),(((((MIN(($E23),99))/100))+5.0)/(1-(((MIN(($E23),99))/100))+5.0))))*100))/100))*0.96)),(((((MIN((D$23),99))/100))+5.0)/(1-(((MIN((D$23),99))/100))+5.0))))*100))/100))*0.96)),(((((MIN(($C$23),99))/100))+5.0)/(1-(((MIN(($C$23),99))/100))+5.0))))*100))/100))*0.96)),(((((MIN((B23),99))/100))+5.0)/(1-(((MIN((B23),99))/100))+5.0))))*100))/100))*0.96)),(((((MIN((A23),99))/100))+5.0)/(1-(((MIN((A23),99))/100))+5.0))))*100))/100))*0.96)),(((((MIN(($I22),99))/100))+5.0)/(1-(((MIN(($I22),99))/100))+5.0))))*100))/100))*0.96)),(((((MIN((I21),99))/100))+5.0)/(1-(((MIN((I21),99))/100))+5.0))))*100))/100))*0.96)),(((((MIN(($I$20),99))/100))+5.0)/(1-(((MIN(($I$20),99))/100))+5.0))))*100))/100))*0.96)),(((((MIN((I$19),99))/100))+5.0)/(1-(((MIN((I$19),99))/100))+5.0))))*100))/100))*0.96)),(((((MIN((I$18),99))/100))+5.0)/(1-(((MIN((I$18),99))/100))+5.0))))*100))/100))*0.96)),(((((MIN(($I$17),99))/100))+5.0)/(1-(((MIN(($I$17),99))/100))+5.0))))*100))/100))*0.96)),(((((MIN(($I16),99))/100))+5.0)/(1-(((MIN(($I16),99))/100))+5.0))))*100))/100))*0.96)),(((((MIN((I15),99))/100))+5.0)/(1-(((MIN((I15),99))/100))+5.0))))*100))/100))*0.96)),(((((MIN((I$14),99))/100))+5.0)/(1-(((MIN((I$14),99))/100))+5.0))))*100))/100))*0.96)),(((((MIN(($I$13),99))/100))+5.0)/(1-(((MIN(($I$13),99))/100))+5.0))))*100))/100))*0.96)),(((((MIN((I12),99))/100))+5.0)/(1-(((MIN((I12),99))/100))+5.0))))*100))/100))*0.96)),(((((MIN(($I11),99))/100))+5.0)/(1-(((MIN(($I11),99))/100))+5.0))))*100))/100))*0.96)),(((((MIN(($I10),99))/100))+5.0)/(1-(((MIN(($I10),99))/100))+5.0))))*100))/100))*0.96)),(((((MIN((I9),99))/100))+5.0)/(1-(((MIN((I9),99))/100))+5.0))))*100))/100))*0.96)),(((((MIN(($I8),99))/100))+5.0)/(1-(((MIN(($I8),99))/100))+5.0))))*100))/100))*0.96)),(((((MIN((I7),99))/100))+5.0)/(1-(((MIN((I7),99))/100))+5.0))))*100),0)</f>
        <v/>
      </c>
      <c r="J2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(37)/100))*0.96)),(((((MIN(($I$23),99))/100))+5.0)/(1-(((MIN(($I$23),99))/100))+5.0))))*100))/100))*0.96)),(((((MIN(($H23),99))/100))+5.0)/(1-(((MIN(($H23),99))/100))+5.0))))*100))/100))*0.96)),(((((MIN(($G$23),99))/100))+5.0)/(1-(((MIN(($G$23),99))/100))+5.0))))*100))/100))*0.96)),(((((MIN((F23),99))/100))+5.0)/(1-(((MIN((F23),99))/100))+5.0))))*100))/100))*0.96)),(((((MIN(($E23),99))/100))+5.0)/(1-(((MIN(($E23),99))/100))+5.0))))*100))/100))*0.96)),(((((MIN((D$23),99))/100))+5.0)/(1-(((MIN((D$23),99))/100))+5.0))))*100))/100))*0.96)),(((((MIN(($C23),99))/100))+5.0)/(1-(((MIN(($C23),99))/100))+5.0))))*100))/100))*0.96)),(((((MIN(($B$23),99))/100))+5.0)/(1-(((MIN(($B$23),99))/100))+5.0))))*100))/100))*0.96)),(((((MIN(($J22),99))/100))+5.0)/(1-(((MIN(($J22),99))/100))+5.0))))*100))/100))*0.96)),(((((MIN((J21),99))/100))+5.0)/(1-(((MIN((J21),99))/100))+5.0))))*100))/100))*0.96)),(((((MIN(($J20),99))/100))+5.0)/(1-(((MIN(($J20),99))/100))+5.0))))*100))/100))*0.96)),(((((MIN(($J19),99))/100))+5.0)/(1-(((MIN(($J19),99))/100))+5.0))))*100))/100))*0.96)),(((((MIN(($J18),99))/100))+5.0)/(1-(((MIN(($J18),99))/100))+5.0))))*100))/100))*0.96)),(((((MIN(($J$17),99))/100))+5.0)/(1-(((MIN(($J$17),99))/100))+5.0))))*100))/100))*0.96)),(((((MIN((J$16),99))/100))+5.0)/(1-(((MIN((J$16),99))/100))+5.0))))*100))/100))*0.96)),(((((MIN(($J$15),99))/100))+5.0)/(1-(((MIN(($J$15),99))/100))+5.0))))*100))/100))*0.96)),(((((MIN((J14),99))/100))+5.0)/(1-(((MIN((J14),99))/100))+5.0))))*100))/100))*0.96)),(((((MIN((J$13),99))/100))+5.0)/(1-(((MIN((J$13),99))/100))+5.0))))*100))/100))*0.96)),(((((MIN((J$12),99))/100))+5.0)/(1-(((MIN((J$12),99))/100))+5.0))))*100))/100))*0.96)),(((((MIN(($J$11),99))/100))+5.0)/(1-(((MIN(($J$11),99))/100))+5.0))))*100))/100))*0.96)),(((((MIN(($J$10),99))/100))+5.0)/(1-(((MIN(($J$10),99))/100))+5.0))))*100))/100))*0.96)),(((((MIN((J$9),99))/100))+5.0)/(1-(((MIN((J$9),99))/100))+5.0))))*100))/100))*0.96)),(((((MIN(($J8),99))/100))+5.0)/(1-(((MIN(($J8),99))/100))+5.0))))*100))/100))*0.96)),(((((MIN(($J$7),99))/100))+5.0)/(1-(((MIN(($J$7),99))/100))+5.0))))*100),0)</f>
        <v/>
      </c>
      <c r="K2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(59)/100))*0.96)),(((((MIN((J$23),99))/100))+5.0)/(1-(((MIN((J$23),99))/100))+5.0))))*100))/100))*0.96)),(((((MIN((I23),99))/100))+5.0)/(1-(((MIN((I23),99))/100))+5.0))))*100))/100))*0.96)),(((((MIN((H23),99))/100))+5.0)/(1-(((MIN((H23),99))/100))+5.0))))*100))/100))*0.96)),(((((MIN(($G$23),99))/100))+5.0)/(1-(((MIN(($G$23),99))/100))+5.0))))*100))/100))*0.96)),(((((MIN((F$23),99))/100))+5.0)/(1-(((MIN((F$23),99))/100))+5.0))))*100))/100))*0.96)),(((((MIN((E23),99))/100))+5.0)/(1-(((MIN((E23),99))/100))+5.0))))*100))/100))*0.96)),(((((MIN(($D23),99))/100))+5.0)/(1-(((MIN(($D23),99))/100))+5.0))))*100))/100))*0.96)),(((((MIN((C$23),99))/100))+5.0)/(1-(((MIN((C$23),99))/100))+5.0))))*100))/100))*0.96)),(((((MIN((K$22),99))/100))+5.0)/(1-(((MIN((K$22),99))/100))+5.0))))*100))/100))*0.96)),(((((MIN((K$21),99))/100))+5.0)/(1-(((MIN((K$21),99))/100))+5.0))))*100))/100))*0.96)),(((((MIN(($K20),99))/100))+5.0)/(1-(((MIN(($K20),99))/100))+5.0))))*100))/100))*0.96)),(((((MIN(($K19),99))/100))+5.0)/(1-(((MIN(($K19),99))/100))+5.0))))*100))/100))*0.96)),(((((MIN((K18),99))/100))+5.0)/(1-(((MIN((K18),99))/100))+5.0))))*100))/100))*0.96)),(((((MIN(($K$17),99))/100))+5.0)/(1-(((MIN(($K$17),99))/100))+5.0))))*100))/100))*0.96)),(((((MIN(($K$16),99))/100))+5.0)/(1-(((MIN(($K$16),99))/100))+5.0))))*100))/100))*0.96)),(((((MIN((K15),99))/100))+5.0)/(1-(((MIN((K15),99))/100))+5.0))))*100))/100))*0.96)),(((((MIN(($K$14),99))/100))+5.0)/(1-(((MIN(($K$14),99))/100))+5.0))))*100))/100))*0.96)),(((((MIN((K13),99))/100))+5.0)/(1-(((MIN((K13),99))/100))+5.0))))*100))/100))*0.96)),(((((MIN(($K12),99))/100))+5.0)/(1-(((MIN(($K12),99))/100))+5.0))))*100))/100))*0.96)),(((((MIN(($K11),99))/100))+5.0)/(1-(((MIN(($K11),99))/100))+5.0))))*100))/100))*0.96)),(((((MIN((K10),99))/100))+5.0)/(1-(((MIN((K10),99))/100))+5.0))))*100))/100))*0.96)),(((((MIN((K$9),99))/100))+5.0)/(1-(((MIN((K$9),99))/100))+5.0))))*100))/100))*0.96)),(((((MIN((K8),99))/100))+5.0)/(1-(((MIN((K8),99))/100))+5.0))))*100))/100))*0.96)),(((((MIN((K$7),99))/100))+5.0)/(1-(((MIN((K$7),99))/100))+5.0))))*100),0)</f>
        <v/>
      </c>
      <c r="L2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(65)/100))*0.96)),(((((MIN((K$23),99))/100))+5.0)/(1-(((MIN((K$23),99))/100))+5.0))))*100))/100))*0.96)),(((((MIN(($J$23),99))/100))+5.0)/(1-(((MIN(($J$23),99))/100))+5.0))))*100))/100))*0.96)),(((((MIN(($I$23),99))/100))+5.0)/(1-(((MIN(($I$23),99))/100))+5.0))))*100))/100))*0.96)),(((((MIN((H23),99))/100))+5.0)/(1-(((MIN((H23),99))/100))+5.0))))*100))/100))*0.96)),(((((MIN((G23),99))/100))+5.0)/(1-(((MIN((G23),99))/100))+5.0))))*100))/100))*0.96)),(((((MIN(($F$23),99))/100))+5.0)/(1-(((MIN(($F$23),99))/100))+5.0))))*100))/100))*0.96)),(((((MIN((E$23),99))/100))+5.0)/(1-(((MIN((E$23),99))/100))+5.0))))*100))/100))*0.96)),(((((MIN(($D$23),99))/100))+5.0)/(1-(((MIN(($D$23),99))/100))+5.0))))*100))/100))*0.96)),(((((MIN((L$22),99))/100))+5.0)/(1-(((MIN((L$22),99))/100))+5.0))))*100))/100))*0.96)),(((((MIN(($L21),99))/100))+5.0)/(1-(((MIN(($L21),99))/100))+5.0))))*100))/100))*0.96)),(((((MIN(($L20),99))/100))+5.0)/(1-(((MIN(($L20),99))/100))+5.0))))*100))/100))*0.96)),(((((MIN(($L19),99))/100))+5.0)/(1-(((MIN(($L19),99))/100))+5.0))))*100))/100))*0.96)),(((((MIN((L18),99))/100))+5.0)/(1-(((MIN((L18),99))/100))+5.0))))*100))/100))*0.96)),(((((MIN((L$17),99))/100))+5.0)/(1-(((MIN((L$17),99))/100))+5.0))))*100))/100))*0.96)),(((((MIN(($L$16),99))/100))+5.0)/(1-(((MIN(($L$16),99))/100))+5.0))))*100))/100))*0.96)),(((((MIN(($L15),99))/100))+5.0)/(1-(((MIN(($L15),99))/100))+5.0))))*100))/100))*0.96)),(((((MIN((L$14),99))/100))+5.0)/(1-(((MIN((L$14),99))/100))+5.0))))*100))/100))*0.96)),(((((MIN((L13),99))/100))+5.0)/(1-(((MIN((L13),99))/100))+5.0))))*100))/100))*0.96)),(((((MIN(($L12),99))/100))+5.0)/(1-(((MIN(($L12),99))/100))+5.0))))*100))/100))*0.96)),(((((MIN((L11),99))/100))+5.0)/(1-(((MIN((L11),99))/100))+5.0))))*100))/100))*0.96)),(((((MIN(($L10),99))/100))+5.0)/(1-(((MIN(($L10),99))/100))+5.0))))*100))/100))*0.96)),(((((MIN((L$9),99))/100))+5.0)/(1-(((MIN((L$9),99))/100))+5.0))))*100))/100))*0.96)),(((((MIN(($L8),99))/100))+5.0)/(1-(((MIN(($L8),99))/100))+5.0))))*100))/100))*0.96)),(((((MIN((L7),99))/100))+5.0)/(1-(((MIN((L7),99))/100))+5.0))))*100),0)</f>
        <v/>
      </c>
      <c r="M2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(62)/100))*0.96)),(((((MIN(($L$23),99))/100))+5.0)/(1-(((MIN(($L$23),99))/100))+5.0))))*100))/100))*0.96)),(((((MIN((K$23),99))/100))+5.0)/(1-(((MIN((K$23),99))/100))+5.0))))*100))/100))*0.96)),(((((MIN(($J$23),99))/100))+5.0)/(1-(((MIN(($J$23),99))/100))+5.0))))*100))/100))*0.96)),(((((MIN(($I23),99))/100))+5.0)/(1-(((MIN(($I23),99))/100))+5.0))))*100))/100))*0.96)),(((((MIN((H23),99))/100))+5.0)/(1-(((MIN((H23),99))/100))+5.0))))*100))/100))*0.96)),(((((MIN((G23),99))/100))+5.0)/(1-(((MIN((G23),99))/100))+5.0))))*100))/100))*0.96)),(((((MIN(($F23),99))/100))+5.0)/(1-(((MIN(($F23),99))/100))+5.0))))*100))/100))*0.96)),(((((MIN((E23),99))/100))+5.0)/(1-(((MIN((E23),99))/100))+5.0))))*100))/100))*0.96)),(((((MIN((M22),99))/100))+5.0)/(1-(((MIN((M22),99))/100))+5.0))))*100))/100))*0.96)),(((((MIN((M21),99))/100))+5.0)/(1-(((MIN((M21),99))/100))+5.0))))*100))/100))*0.96)),(((((MIN(($M20),99))/100))+5.0)/(1-(((MIN(($M20),99))/100))+5.0))))*100))/100))*0.96)),(((((MIN((M19),99))/100))+5.0)/(1-(((MIN((M19),99))/100))+5.0))))*100))/100))*0.96)),(((((MIN((M$18),99))/100))+5.0)/(1-(((MIN((M$18),99))/100))+5.0))))*100))/100))*0.96)),(((((MIN(($M$17),99))/100))+5.0)/(1-(((MIN(($M$17),99))/100))+5.0))))*100))/100))*0.96)),(((((MIN((M16),99))/100))+5.0)/(1-(((MIN((M16),99))/100))+5.0))))*100))/100))*0.96)),(((((MIN((M$15),99))/100))+5.0)/(1-(((MIN((M$15),99))/100))+5.0))))*100))/100))*0.96)),(((((MIN((M$14),99))/100))+5.0)/(1-(((MIN((M$14),99))/100))+5.0))))*100))/100))*0.96)),(((((MIN((M13),99))/100))+5.0)/(1-(((MIN((M13),99))/100))+5.0))))*100))/100))*0.96)),(((((MIN(($M$12),99))/100))+5.0)/(1-(((MIN(($M$12),99))/100))+5.0))))*100))/100))*0.96)),(((((MIN(($M$11),99))/100))+5.0)/(1-(((MIN(($M$11),99))/100))+5.0))))*100))/100))*0.96)),(((((MIN(($M10),99))/100))+5.0)/(1-(((MIN(($M10),99))/100))+5.0))))*100))/100))*0.96)),(((((MIN(($M9),99))/100))+5.0)/(1-(((MIN(($M9),99))/100))+5.0))))*100))/100))*0.96)),(((((MIN((M8),99))/100))+5.0)/(1-(((MIN((M8),99))/100))+5.0))))*100))/100))*0.96)),(((((MIN(($M7),99))/100))+5.0)/(1-(((MIN(($M7),99))/100))+5.0))))*100),0)</f>
        <v/>
      </c>
      <c r="N2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(70)/100))*0.96)),(((((MIN((M23),99))/100))+5.0)/(1-(((MIN((M23),99))/100))+5.0))))*100))/100))*0.96)),(((((MIN((L$23),99))/100))+5.0)/(1-(((MIN((L$23),99))/100))+5.0))))*100))/100))*0.96)),(((((MIN((K$23),99))/100))+5.0)/(1-(((MIN((K$23),99))/100))+5.0))))*100))/100))*0.96)),(((((MIN(($J$23),99))/100))+5.0)/(1-(((MIN(($J$23),99))/100))+5.0))))*100))/100))*0.96)),(((((MIN(($I$23),99))/100))+5.0)/(1-(((MIN(($I$23),99))/100))+5.0))))*100))/100))*0.96)),(((((MIN((H23),99))/100))+5.0)/(1-(((MIN((H23),99))/100))+5.0))))*100))/100))*0.96)),(((((MIN(($G$23),99))/100))+5.0)/(1-(((MIN(($G$23),99))/100))+5.0))))*100))/100))*0.96)),(((((MIN(($F23),99))/100))+5.0)/(1-(((MIN(($F23),99))/100))+5.0))))*100))/100))*0.96)),(((((MIN((N$22),99))/100))+5.0)/(1-(((MIN((N$22),99))/100))+5.0))))*100))/100))*0.96)),(((((MIN(($N$21),99))/100))+5.0)/(1-(((MIN(($N$21),99))/100))+5.0))))*100))/100))*0.96)),(((((MIN((N$20),99))/100))+5.0)/(1-(((MIN((N$20),99))/100))+5.0))))*100))/100))*0.96)),(((((MIN(($N$19),99))/100))+5.0)/(1-(((MIN(($N$19),99))/100))+5.0))))*100))/100))*0.96)),(((((MIN((N$18),99))/100))+5.0)/(1-(((MIN((N$18),99))/100))+5.0))))*100))/100))*0.96)),(((((MIN(($N17),99))/100))+5.0)/(1-(((MIN(($N17),99))/100))+5.0))))*100))/100))*0.96)),(((((MIN((N$16),99))/100))+5.0)/(1-(((MIN((N$16),99))/100))+5.0))))*100))/100))*0.96)),(((((MIN((N15),99))/100))+5.0)/(1-(((MIN((N15),99))/100))+5.0))))*100))/100))*0.96)),(((((MIN((N$14),99))/100))+5.0)/(1-(((MIN((N$14),99))/100))+5.0))))*100))/100))*0.96)),(((((MIN((N13),99))/100))+5.0)/(1-(((MIN((N13),99))/100))+5.0))))*100))/100))*0.96)),(((((MIN(($N12),99))/100))+5.0)/(1-(((MIN(($N12),99))/100))+5.0))))*100))/100))*0.96)),(((((MIN((N$11),99))/100))+5.0)/(1-(((MIN((N$11),99))/100))+5.0))))*100))/100))*0.96)),(((((MIN(($N10),99))/100))+5.0)/(1-(((MIN(($N10),99))/100))+5.0))))*100))/100))*0.96)),(((((MIN((N$9),99))/100))+5.0)/(1-(((MIN((N$9),99))/100))+5.0))))*100))/100))*0.96)),(((((MIN(($N8),99))/100))+5.0)/(1-(((MIN(($N8),99))/100))+5.0))))*100))/100))*0.96)),(((((MIN(($N$7),99))/100))+5.0)/(1-(((MIN(($N$7),99))/100))+5.0))))*100),0)</f>
        <v/>
      </c>
      <c r="O2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(52)/100))*0.96)),(((((MIN(($N$23),99))/100))+5.0)/(1-(((MIN(($N$23),99))/100))+5.0))))*100))/100))*0.96)),(((((MIN(($M$23),99))/100))+5.0)/(1-(((MIN(($M$23),99))/100))+5.0))))*100))/100))*0.96)),(((((MIN(($L23),99))/100))+5.0)/(1-(((MIN(($L23),99))/100))+5.0))))*100))/100))*0.96)),(((((MIN(($K$23),99))/100))+5.0)/(1-(((MIN(($K$23),99))/100))+5.0))))*100))/100))*0.96)),(((((MIN((J23),99))/100))+5.0)/(1-(((MIN((J23),99))/100))+5.0))))*100))/100))*0.96)),(((((MIN((I23),99))/100))+5.0)/(1-(((MIN((I23),99))/100))+5.0))))*100))/100))*0.96)),(((((MIN(($H23),99))/100))+5.0)/(1-(((MIN(($H23),99))/100))+5.0))))*100))/100))*0.96)),(((((MIN((G$23),99))/100))+5.0)/(1-(((MIN((G$23),99))/100))+5.0))))*100))/100))*0.96)),(((((MIN((O$22),99))/100))+5.0)/(1-(((MIN((O$22),99))/100))+5.0))))*100))/100))*0.96)),(((((MIN(($O21),99))/100))+5.0)/(1-(((MIN(($O21),99))/100))+5.0))))*100))/100))*0.96)),(((((MIN((O20),99))/100))+5.0)/(1-(((MIN((O20),99))/100))+5.0))))*100))/100))*0.96)),(((((MIN(($O$19),99))/100))+5.0)/(1-(((MIN(($O$19),99))/100))+5.0))))*100))/100))*0.96)),(((((MIN(($O18),99))/100))+5.0)/(1-(((MIN(($O18),99))/100))+5.0))))*100))/100))*0.96)),(((((MIN(($O17),99))/100))+5.0)/(1-(((MIN(($O17),99))/100))+5.0))))*100))/100))*0.96)),(((((MIN(($O$16),99))/100))+5.0)/(1-(((MIN(($O$16),99))/100))+5.0))))*100))/100))*0.96)),(((((MIN(($O15),99))/100))+5.0)/(1-(((MIN(($O15),99))/100))+5.0))))*100))/100))*0.96)),(((((MIN(($O14),99))/100))+5.0)/(1-(((MIN(($O14),99))/100))+5.0))))*100))/100))*0.96)),(((((MIN(($O13),99))/100))+5.0)/(1-(((MIN(($O13),99))/100))+5.0))))*100))/100))*0.96)),(((((MIN((O$12),99))/100))+5.0)/(1-(((MIN((O$12),99))/100))+5.0))))*100))/100))*0.96)),(((((MIN(($O$11),99))/100))+5.0)/(1-(((MIN(($O$11),99))/100))+5.0))))*100))/100))*0.96)),(((((MIN(($O$10),99))/100))+5.0)/(1-(((MIN(($O$10),99))/100))+5.0))))*100))/100))*0.96)),(((((MIN(($O$9),99))/100))+5.0)/(1-(((MIN(($O$9),99))/100))+5.0))))*100))/100))*0.96)),(((((MIN((O$8),99))/100))+5.0)/(1-(((MIN((O$8),99))/100))+5.0))))*100))/100))*0.96)),(((((MIN(($O$7),99))/100))+5.0)/(1-(((MIN(($O$7),99))/100))+5.0))))*100),0)</f>
        <v/>
      </c>
      <c r="P2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(20)/100))*0.96)),(((((MIN((O23),99))/100))+5.0)/(1-(((MIN((O23),99))/100))+5.0))))*100))/100))*0.96)),(((((MIN(($N23),99))/100))+5.0)/(1-(((MIN(($N23),99))/100))+5.0))))*100))/100))*0.96)),(((((MIN(($M$23),99))/100))+5.0)/(1-(((MIN(($M$23),99))/100))+5.0))))*100))/100))*0.96)),(((((MIN((L$23),99))/100))+5.0)/(1-(((MIN((L$23),99))/100))+5.0))))*100))/100))*0.96)),(((((MIN((K$23),99))/100))+5.0)/(1-(((MIN((K$23),99))/100))+5.0))))*100))/100))*0.96)),(((((MIN(($J23),99))/100))+5.0)/(1-(((MIN(($J23),99))/100))+5.0))))*100))/100))*0.96)),(((((MIN(($I23),99))/100))+5.0)/(1-(((MIN(($I23),99))/100))+5.0))))*100))/100))*0.96)),(((((MIN((H$23),99))/100))+5.0)/(1-(((MIN((H$23),99))/100))+5.0))))*100))/100))*0.96)),(((((MIN((P$22),99))/100))+5.0)/(1-(((MIN((P$22),99))/100))+5.0))))*100))/100))*0.96)),(((((MIN(($P$21),99))/100))+5.0)/(1-(((MIN(($P$21),99))/100))+5.0))))*100))/100))*0.96)),(((((MIN((P$20),99))/100))+5.0)/(1-(((MIN((P$20),99))/100))+5.0))))*100))/100))*0.96)),(((((MIN(($P19),99))/100))+5.0)/(1-(((MIN(($P19),99))/100))+5.0))))*100))/100))*0.96)),(((((MIN(($P18),99))/100))+5.0)/(1-(((MIN(($P18),99))/100))+5.0))))*100))/100))*0.96)),(((((MIN(($P$17),99))/100))+5.0)/(1-(((MIN(($P$17),99))/100))+5.0))))*100))/100))*0.96)),(((((MIN((P16),99))/100))+5.0)/(1-(((MIN((P16),99))/100))+5.0))))*100))/100))*0.96)),(((((MIN((P15),99))/100))+5.0)/(1-(((MIN((P15),99))/100))+5.0))))*100))/100))*0.96)),(((((MIN((P14),99))/100))+5.0)/(1-(((MIN((P14),99))/100))+5.0))))*100))/100))*0.96)),(((((MIN((P13),99))/100))+5.0)/(1-(((MIN((P13),99))/100))+5.0))))*100))/100))*0.96)),(((((MIN(($P12),99))/100))+5.0)/(1-(((MIN(($P12),99))/100))+5.0))))*100))/100))*0.96)),(((((MIN(($P11),99))/100))+5.0)/(1-(((MIN(($P11),99))/100))+5.0))))*100))/100))*0.96)),(((((MIN((P$10),99))/100))+5.0)/(1-(((MIN((P$10),99))/100))+5.0))))*100))/100))*0.96)),(((((MIN((P$9),99))/100))+5.0)/(1-(((MIN((P$9),99))/100))+5.0))))*100))/100))*0.96)),(((((MIN((P$8),99))/100))+5.0)/(1-(((MIN((P$8),99))/100))+5.0))))*100))/100))*0.96)),(((((MIN((P$7),99))/100))+5.0)/(1-(((MIN((P$7),99))/100))+5.0))))*100),0)</f>
        <v/>
      </c>
      <c r="Q2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(51)/100))*0.96)),(((((MIN(($P23),99))/100))+5.0)/(1-(((MIN(($P23),99))/100))+5.0))))*100))/100))*0.96)),(((((MIN(($O23),99))/100))+5.0)/(1-(((MIN(($O23),99))/100))+5.0))))*100))/100))*0.96)),(((((MIN(($N23),99))/100))+5.0)/(1-(((MIN(($N23),99))/100))+5.0))))*100))/100))*0.96)),(((((MIN((M$23),99))/100))+5.0)/(1-(((MIN((M$23),99))/100))+5.0))))*100))/100))*0.96)),(((((MIN((L$23),99))/100))+5.0)/(1-(((MIN((L$23),99))/100))+5.0))))*100))/100))*0.96)),(((((MIN(($K$23),99))/100))+5.0)/(1-(((MIN(($K$23),99))/100))+5.0))))*100))/100))*0.96)),(((((MIN(($J23),99))/100))+5.0)/(1-(((MIN(($J23),99))/100))+5.0))))*100))/100))*0.96)),(((((MIN((I$23),99))/100))+5.0)/(1-(((MIN((I$23),99))/100))+5.0))))*100))/100))*0.96)),(((((MIN(($Q$22),99))/100))+5.0)/(1-(((MIN(($Q$22),99))/100))+5.0))))*100))/100))*0.96)),(((((MIN((Q$21),99))/100))+5.0)/(1-(((MIN((Q$21),99))/100))+5.0))))*100))/100))*0.96)),(((((MIN(($Q20),99))/100))+5.0)/(1-(((MIN(($Q20),99))/100))+5.0))))*100))/100))*0.96)),(((((MIN((Q$19),99))/100))+5.0)/(1-(((MIN((Q$19),99))/100))+5.0))))*100))/100))*0.96)),(((((MIN(($Q$18),99))/100))+5.0)/(1-(((MIN(($Q$18),99))/100))+5.0))))*100))/100))*0.96)),(((((MIN(($Q17),99))/100))+5.0)/(1-(((MIN(($Q17),99))/100))+5.0))))*100))/100))*0.96)),(((((MIN((Q16),99))/100))+5.0)/(1-(((MIN((Q16),99))/100))+5.0))))*100))/100))*0.96)),(((((MIN((Q15),99))/100))+5.0)/(1-(((MIN((Q15),99))/100))+5.0))))*100))/100))*0.96)),(((((MIN((Q14),99))/100))+5.0)/(1-(((MIN((Q14),99))/100))+5.0))))*100))/100))*0.96)),(((((MIN((Q13),99))/100))+5.0)/(1-(((MIN((Q13),99))/100))+5.0))))*100))/100))*0.96)),(((((MIN((Q12),99))/100))+5.0)/(1-(((MIN((Q12),99))/100))+5.0))))*100))/100))*0.96)),(((((MIN(($Q$11),99))/100))+5.0)/(1-(((MIN(($Q$11),99))/100))+5.0))))*100))/100))*0.96)),(((((MIN(($Q$10),99))/100))+5.0)/(1-(((MIN(($Q$10),99))/100))+5.0))))*100))/100))*0.96)),(((((MIN((Q9),99))/100))+5.0)/(1-(((MIN((Q9),99))/100))+5.0))))*100))/100))*0.96)),(((((MIN(($Q$8),99))/100))+5.0)/(1-(((MIN(($Q$8),99))/100))+5.0))))*100))/100))*0.96)),(((((MIN(($Q$7),99))/100))+5.0)/(1-(((MIN(($Q$7),99))/100))+5.0))))*100),0)</f>
        <v/>
      </c>
      <c r="R2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(90)/100))*0.96)),(((((MIN(($Q$23),99))/100))+5.0)/(1-(((MIN(($Q$23),99))/100))+5.0))))*100))/100))*0.96)),(((((MIN((P23),99))/100))+5.0)/(1-(((MIN((P23),99))/100))+5.0))))*100))/100))*0.96)),(((((MIN((O$23),99))/100))+5.0)/(1-(((MIN((O$23),99))/100))+5.0))))*100))/100))*0.96)),(((((MIN(($N23),99))/100))+5.0)/(1-(((MIN(($N23),99))/100))+5.0))))*100))/100))*0.96)),(((((MIN((M$23),99))/100))+5.0)/(1-(((MIN((M$23),99))/100))+5.0))))*100))/100))*0.96)),(((((MIN((L$23),99))/100))+5.0)/(1-(((MIN((L$23),99))/100))+5.0))))*100))/100))*0.96)),(((((MIN((K23),99))/100))+5.0)/(1-(((MIN((K23),99))/100))+5.0))))*100))/100))*0.96)),(((((MIN((J23),99))/100))+5.0)/(1-(((MIN((J23),99))/100))+5.0))))*100))/100))*0.96)),(((((MIN((R$22),99))/100))+5.0)/(1-(((MIN((R$22),99))/100))+5.0))))*100))/100))*0.96)),(((((MIN(($R$21),99))/100))+5.0)/(1-(((MIN(($R$21),99))/100))+5.0))))*100))/100))*0.96)),(((((MIN(($R$20),99))/100))+5.0)/(1-(((MIN(($R$20),99))/100))+5.0))))*100))/100))*0.96)),(((((MIN(($R$19),99))/100))+5.0)/(1-(((MIN(($R$19),99))/100))+5.0))))*100))/100))*0.96)),(((((MIN((R$18),99))/100))+5.0)/(1-(((MIN((R$18),99))/100))+5.0))))*100))/100))*0.96)),(((((MIN((R$17),99))/100))+5.0)/(1-(((MIN((R$17),99))/100))+5.0))))*100))/100))*0.96)),(((((MIN((R$16),99))/100))+5.0)/(1-(((MIN((R$16),99))/100))+5.0))))*100))/100))*0.96)),(((((MIN((R$15),99))/100))+5.0)/(1-(((MIN((R$15),99))/100))+5.0))))*100))/100))*0.96)),(((((MIN((R$14),99))/100))+5.0)/(1-(((MIN((R$14),99))/100))+5.0))))*100))/100))*0.96)),(((((MIN(($R13),99))/100))+5.0)/(1-(((MIN(($R13),99))/100))+5.0))))*100))/100))*0.96)),(((((MIN((R12),99))/100))+5.0)/(1-(((MIN((R12),99))/100))+5.0))))*100))/100))*0.96)),(((((MIN((R11),99))/100))+5.0)/(1-(((MIN((R11),99))/100))+5.0))))*100))/100))*0.96)),(((((MIN((R10),99))/100))+5.0)/(1-(((MIN((R10),99))/100))+5.0))))*100))/100))*0.96)),(((((MIN(($R9),99))/100))+5.0)/(1-(((MIN(($R9),99))/100))+5.0))))*100))/100))*0.96)),(((((MIN((R8),99))/100))+5.0)/(1-(((MIN((R8),99))/100))+5.0))))*100))/100))*0.96)),(((((MIN((R7),99))/100))+5.0)/(1-(((MIN((R7),99))/100))+5.0))))*100),0)</f>
        <v/>
      </c>
      <c r="S2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(87)/100))*0.96)),(((((MIN(($R23),99))/100))+5.0)/(1-(((MIN(($R23),99))/100))+5.0))))*100))/100))*0.96)),(((((MIN(($Q23),99))/100))+5.0)/(1-(((MIN(($Q23),99))/100))+5.0))))*100))/100))*0.96)),(((((MIN((P23),99))/100))+5.0)/(1-(((MIN((P23),99))/100))+5.0))))*100))/100))*0.96)),(((((MIN((O$23),99))/100))+5.0)/(1-(((MIN((O$23),99))/100))+5.0))))*100))/100))*0.96)),(((((MIN((N$23),99))/100))+5.0)/(1-(((MIN((N$23),99))/100))+5.0))))*100))/100))*0.96)),(((((MIN((M23),99))/100))+5.0)/(1-(((MIN((M23),99))/100))+5.0))))*100))/100))*0.96)),(((((MIN((L$23),99))/100))+5.0)/(1-(((MIN((L$23),99))/100))+5.0))))*100))/100))*0.96)),(((((MIN((K23),99))/100))+5.0)/(1-(((MIN((K23),99))/100))+5.0))))*100))/100))*0.96)),(((((MIN(($S22),99))/100))+5.0)/(1-(((MIN(($S22),99))/100))+5.0))))*100))/100))*0.96)),(((((MIN((S$21),99))/100))+5.0)/(1-(((MIN((S$21),99))/100))+5.0))))*100))/100))*0.96)),(((((MIN(($S20),99))/100))+5.0)/(1-(((MIN(($S20),99))/100))+5.0))))*100))/100))*0.96)),(((((MIN(($S$19),99))/100))+5.0)/(1-(((MIN(($S$19),99))/100))+5.0))))*100))/100))*0.96)),(((((MIN((S$18),99))/100))+5.0)/(1-(((MIN((S$18),99))/100))+5.0))))*100))/100))*0.96)),(((((MIN(($S17),99))/100))+5.0)/(1-(((MIN(($S17),99))/100))+5.0))))*100))/100))*0.96)),(((((MIN((S16),99))/100))+5.0)/(1-(((MIN((S16),99))/100))+5.0))))*100))/100))*0.96)),(((((MIN((S15),99))/100))+5.0)/(1-(((MIN((S15),99))/100))+5.0))))*100))/100))*0.96)),(((((MIN((S$14),99))/100))+5.0)/(1-(((MIN((S$14),99))/100))+5.0))))*100))/100))*0.96)),(((((MIN(($S$13),99))/100))+5.0)/(1-(((MIN(($S$13),99))/100))+5.0))))*100))/100))*0.96)),(((((MIN((S$12),99))/100))+5.0)/(1-(((MIN((S$12),99))/100))+5.0))))*100))/100))*0.96)),(((((MIN((S11),99))/100))+5.0)/(1-(((MIN((S11),99))/100))+5.0))))*100))/100))*0.96)),(((((MIN((S10),99))/100))+5.0)/(1-(((MIN((S10),99))/100))+5.0))))*100))/100))*0.96)),(((((MIN((S9),99))/100))+5.0)/(1-(((MIN((S9),99))/100))+5.0))))*100))/100))*0.96)),(((((MIN((S8),99))/100))+5.0)/(1-(((MIN((S8),99))/100))+5.0))))*100))/100))*0.96)),(((((MIN(($S$7),99))/100))+5.0)/(1-(((MIN(($S$7),99))/100))+5.0))))*100),0)</f>
        <v/>
      </c>
      <c r="T23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(34)/100))*0.96)),(((((MIN(($S23),99))/100))+5.0)/(1-(((MIN(($S23),99))/100))+5.0))))*100))/100))*0.96)),(((((MIN((R23),99))/100))+5.0)/(1-(((MIN((R23),99))/100))+5.0))))*100))/100))*0.96)),(((((MIN(($Q$23),99))/100))+5.0)/(1-(((MIN(($Q$23),99))/100))+5.0))))*100))/100))*0.96)),(((((MIN(($P23),99))/100))+5.0)/(1-(((MIN(($P23),99))/100))+5.0))))*100))/100))*0.96)),(((((MIN((O$23),99))/100))+5.0)/(1-(((MIN((O$23),99))/100))+5.0))))*100))/100))*0.96)),(((((MIN(($N$23),99))/100))+5.0)/(1-(((MIN(($N$23),99))/100))+5.0))))*100))/100))*0.96)),(((((MIN(($M23),99))/100))+5.0)/(1-(((MIN(($M23),99))/100))+5.0))))*100))/100))*0.96)),(((((MIN(($L$23),99))/100))+5.0)/(1-(((MIN(($L$23),99))/100))+5.0))))*100))/100))*0.96)),(((((MIN((T$22),99))/100))+5.0)/(1-(((MIN((T$22),99))/100))+5.0))))*100))/100))*0.96)),(((((MIN(($T21),99))/100))+5.0)/(1-(((MIN(($T21),99))/100))+5.0))))*100))/100))*0.96)),(((((MIN((T$20),99))/100))+5.0)/(1-(((MIN((T$20),99))/100))+5.0))))*100))/100))*0.96)),(((((MIN((T19),99))/100))+5.0)/(1-(((MIN((T19),99))/100))+5.0))))*100))/100))*0.96)),(((((MIN(($T$18),99))/100))+5.0)/(1-(((MIN(($T$18),99))/100))+5.0))))*100))/100))*0.96)),(((((MIN(($T$17),99))/100))+5.0)/(1-(((MIN(($T$17),99))/100))+5.0))))*100))/100))*0.96)),(((((MIN((T16),99))/100))+5.0)/(1-(((MIN((T16),99))/100))+5.0))))*100))/100))*0.96)),(((((MIN((T$15),99))/100))+5.0)/(1-(((MIN((T$15),99))/100))+5.0))))*100))/100))*0.96)),(((((MIN((T$14),99))/100))+5.0)/(1-(((MIN((T$14),99))/100))+5.0))))*100))/100))*0.96)),(((((MIN(($T13),99))/100))+5.0)/(1-(((MIN(($T13),99))/100))+5.0))))*100))/100))*0.96)),(((((MIN(($T$12),99))/100))+5.0)/(1-(((MIN(($T$12),99))/100))+5.0))))*100))/100))*0.96)),(((((MIN((T$11),99))/100))+5.0)/(1-(((MIN((T$11),99))/100))+5.0))))*100))/100))*0.96)),(((((MIN(($T10),99))/100))+5.0)/(1-(((MIN(($T10),99))/100))+5.0))))*100))/100))*0.96)),(((((MIN((T9),99))/100))+5.0)/(1-(((MIN((T9),99))/100))+5.0))))*100))/100))*0.96)),(((((MIN((T8),99))/100))+5.0)/(1-(((MIN((T8),99))/100))+5.0))))*100))/100))*0.96)),(((((MIN((T$7),99))/100))+5.0)/(1-(((MIN((T$7),99))/100))+5.0))))*100),0)</f>
        <v/>
      </c>
    </row>
    <row r="24">
      <c r="A2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(6)/100))*0.96)),(((((MIN((A$23),99))/100))+5.0)/(1-(((MIN((A$23),99))/100))+5.0))))*100))/100))*0.96)),(((((MIN((A22),99))/100))+5.0)/(1-(((MIN((A22),99))/100))+5.0))))*100))/100))*0.96)),(((((MIN((A$21),99))/100))+5.0)/(1-(((MIN((A$21),99))/100))+5.0))))*100))/100))*0.96)),(((((MIN((A20),99))/100))+5.0)/(1-(((MIN((A20),99))/100))+5.0))))*100))/100))*0.96)),(((((MIN((A$19),99))/100))+5.0)/(1-(((MIN((A$19),99))/100))+5.0))))*100))/100))*0.96)),(((((MIN((A$18),99))/100))+5.0)/(1-(((MIN((A$18),99))/100))+5.0))))*100))/100))*0.96)),(((((MIN((A$17),99))/100))+5.0)/(1-(((MIN((A$17),99))/100))+5.0))))*100))/100))*0.96)),(((((MIN((A16),99))/100))+5.0)/(1-(((MIN((A16),99))/100))+5.0))))*100))/100))*0.96)),(((((MIN(($A$15),99))/100))+5.0)/(1-(((MIN(($A$15),99))/100))+5.0))))*100))/100))*0.96)),(((((MIN((A14),99))/100))+5.0)/(1-(((MIN((A14),99))/100))+5.0))))*100))/100))*0.96)),(((((MIN((A$13),99))/100))+5.0)/(1-(((MIN((A$13),99))/100))+5.0))))*100))/100))*0.96)),(((((MIN((A$12),99))/100))+5.0)/(1-(((MIN((A$12),99))/100))+5.0))))*100))/100))*0.96)),(((((MIN(($A$11),99))/100))+5.0)/(1-(((MIN(($A$11),99))/100))+5.0))))*100))/100))*0.96)),(((((MIN((A10),99))/100))+5.0)/(1-(((MIN((A10),99))/100))+5.0))))*100))/100))*0.96)),(((((MIN((A9),99))/100))+5.0)/(1-(((MIN((A9),99))/100))+5.0))))*100))/100))*0.96)),(((((MIN(($A8),99))/100))+5.0)/(1-(((MIN(($A8),99))/100))+5.0))))*100),0)</f>
        <v/>
      </c>
      <c r="B2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(94)/100))*0.96)),(((((MIN(($A24),99))/100))+5.0)/(1-(((MIN(($A24),99))/100))+5.0))))*100))/100))*0.96)),(((((MIN(($B23),99))/100))+5.0)/(1-(((MIN(($B23),99))/100))+5.0))))*100))/100))*0.96)),(((((MIN(($B$22),99))/100))+5.0)/(1-(((MIN(($B$22),99))/100))+5.0))))*100))/100))*0.96)),(((((MIN(($B$21),99))/100))+5.0)/(1-(((MIN(($B$21),99))/100))+5.0))))*100))/100))*0.96)),(((((MIN((B20),99))/100))+5.0)/(1-(((MIN((B20),99))/100))+5.0))))*100))/100))*0.96)),(((((MIN(($B19),99))/100))+5.0)/(1-(((MIN(($B19),99))/100))+5.0))))*100))/100))*0.96)),(((((MIN(($B$18),99))/100))+5.0)/(1-(((MIN(($B$18),99))/100))+5.0))))*100))/100))*0.96)),(((((MIN(($B$17),99))/100))+5.0)/(1-(((MIN(($B$17),99))/100))+5.0))))*100))/100))*0.96)),(((((MIN((B$16),99))/100))+5.0)/(1-(((MIN((B$16),99))/100))+5.0))))*100))/100))*0.96)),(((((MIN(($B$15),99))/100))+5.0)/(1-(((MIN(($B$15),99))/100))+5.0))))*100))/100))*0.96)),(((((MIN(($B$14),99))/100))+5.0)/(1-(((MIN(($B$14),99))/100))+5.0))))*100))/100))*0.96)),(((((MIN(($B$13),99))/100))+5.0)/(1-(((MIN(($B$13),99))/100))+5.0))))*100))/100))*0.96)),(((((MIN((B12),99))/100))+5.0)/(1-(((MIN((B12),99))/100))+5.0))))*100))/100))*0.96)),(((((MIN(($B11),99))/100))+5.0)/(1-(((MIN(($B11),99))/100))+5.0))))*100))/100))*0.96)),(((((MIN(($B$10),99))/100))+5.0)/(1-(((MIN(($B$10),99))/100))+5.0))))*100))/100))*0.96)),(((((MIN((B$9),99))/100))+5.0)/(1-(((MIN((B$9),99))/100))+5.0))))*100))/100))*0.96)),(((((MIN((B8),99))/100))+5.0)/(1-(((MIN((B8),99))/100))+5.0))))*100),0)</f>
        <v/>
      </c>
      <c r="C2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(90)/100))*0.96)),(((((MIN((B24),99))/100))+5.0)/(1-(((MIN((B24),99))/100))+5.0))))*100))/100))*0.96)),(((((MIN((A24),99))/100))+5.0)/(1-(((MIN((A24),99))/100))+5.0))))*100))/100))*0.96)),(((((MIN((C$23),99))/100))+5.0)/(1-(((MIN((C$23),99))/100))+5.0))))*100))/100))*0.96)),(((((MIN((C22),99))/100))+5.0)/(1-(((MIN((C22),99))/100))+5.0))))*100))/100))*0.96)),(((((MIN(($C21),99))/100))+5.0)/(1-(((MIN(($C21),99))/100))+5.0))))*100))/100))*0.96)),(((((MIN((C$20),99))/100))+5.0)/(1-(((MIN((C$20),99))/100))+5.0))))*100))/100))*0.96)),(((((MIN(($C19),99))/100))+5.0)/(1-(((MIN(($C19),99))/100))+5.0))))*100))/100))*0.96)),(((((MIN(($C18),99))/100))+5.0)/(1-(((MIN(($C18),99))/100))+5.0))))*100))/100))*0.96)),(((((MIN((C17),99))/100))+5.0)/(1-(((MIN((C17),99))/100))+5.0))))*100))/100))*0.96)),(((((MIN(($C16),99))/100))+5.0)/(1-(((MIN(($C16),99))/100))+5.0))))*100))/100))*0.96)),(((((MIN(($C$15),99))/100))+5.0)/(1-(((MIN(($C$15),99))/100))+5.0))))*100))/100))*0.96)),(((((MIN((C$14),99))/100))+5.0)/(1-(((MIN((C$14),99))/100))+5.0))))*100))/100))*0.96)),(((((MIN(($C$13),99))/100))+5.0)/(1-(((MIN(($C$13),99))/100))+5.0))))*100))/100))*0.96)),(((((MIN(($C12),99))/100))+5.0)/(1-(((MIN(($C12),99))/100))+5.0))))*100))/100))*0.96)),(((((MIN(($C11),99))/100))+5.0)/(1-(((MIN(($C11),99))/100))+5.0))))*100))/100))*0.96)),(((((MIN((C$10),99))/100))+5.0)/(1-(((MIN((C$10),99))/100))+5.0))))*100))/100))*0.96)),(((((MIN((C9),99))/100))+5.0)/(1-(((MIN((C9),99))/100))+5.0))))*100))/100))*0.96)),(((((MIN((C8),99))/100))+5.0)/(1-(((MIN((C8),99))/100))+5.0))))*100),0)</f>
        <v/>
      </c>
      <c r="D2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(35)/100))*0.96)),(((((MIN(($C24),99))/100))+5.0)/(1-(((MIN(($C24),99))/100))+5.0))))*100))/100))*0.96)),(((((MIN(($B$24),99))/100))+5.0)/(1-(((MIN(($B$24),99))/100))+5.0))))*100))/100))*0.96)),(((((MIN(($A$24),99))/100))+5.0)/(1-(((MIN(($A$24),99))/100))+5.0))))*100))/100))*0.96)),(((((MIN((D23),99))/100))+5.0)/(1-(((MIN((D23),99))/100))+5.0))))*100))/100))*0.96)),(((((MIN((D$22),99))/100))+5.0)/(1-(((MIN((D$22),99))/100))+5.0))))*100))/100))*0.96)),(((((MIN(($D21),99))/100))+5.0)/(1-(((MIN(($D21),99))/100))+5.0))))*100))/100))*0.96)),(((((MIN((D20),99))/100))+5.0)/(1-(((MIN((D20),99))/100))+5.0))))*100))/100))*0.96)),(((((MIN(($D19),99))/100))+5.0)/(1-(((MIN(($D19),99))/100))+5.0))))*100))/100))*0.96)),(((((MIN((D$18),99))/100))+5.0)/(1-(((MIN((D$18),99))/100))+5.0))))*100))/100))*0.96)),(((((MIN((D$17),99))/100))+5.0)/(1-(((MIN((D$17),99))/100))+5.0))))*100))/100))*0.96)),(((((MIN((D16),99))/100))+5.0)/(1-(((MIN((D16),99))/100))+5.0))))*100))/100))*0.96)),(((((MIN(($D$15),99))/100))+5.0)/(1-(((MIN(($D$15),99))/100))+5.0))))*100))/100))*0.96)),(((((MIN(($D14),99))/100))+5.0)/(1-(((MIN(($D14),99))/100))+5.0))))*100))/100))*0.96)),(((((MIN(($D$13),99))/100))+5.0)/(1-(((MIN(($D$13),99))/100))+5.0))))*100))/100))*0.96)),(((((MIN(($D$12),99))/100))+5.0)/(1-(((MIN(($D$12),99))/100))+5.0))))*100))/100))*0.96)),(((((MIN(($D$11),99))/100))+5.0)/(1-(((MIN(($D$11),99))/100))+5.0))))*100))/100))*0.96)),(((((MIN((D10),99))/100))+5.0)/(1-(((MIN((D10),99))/100))+5.0))))*100))/100))*0.96)),(((((MIN(($D9),99))/100))+5.0)/(1-(((MIN(($D9),99))/100))+5.0))))*100))/100))*0.96)),(((((MIN((D$8),99))/100))+5.0)/(1-(((MIN((D$8),99))/100))+5.0))))*100),0)</f>
        <v/>
      </c>
      <c r="E2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(21)/100))*0.96)),(((((MIN((D24),99))/100))+5.0)/(1-(((MIN((D24),99))/100))+5.0))))*100))/100))*0.96)),(((((MIN((C$24),99))/100))+5.0)/(1-(((MIN((C$24),99))/100))+5.0))))*100))/100))*0.96)),(((((MIN((B$24),99))/100))+5.0)/(1-(((MIN((B$24),99))/100))+5.0))))*100))/100))*0.96)),(((((MIN((A$24),99))/100))+5.0)/(1-(((MIN((A$24),99))/100))+5.0))))*100))/100))*0.96)),(((((MIN((E$23),99))/100))+5.0)/(1-(((MIN((E$23),99))/100))+5.0))))*100))/100))*0.96)),(((((MIN(($E$22),99))/100))+5.0)/(1-(((MIN(($E$22),99))/100))+5.0))))*100))/100))*0.96)),(((((MIN(($E$21),99))/100))+5.0)/(1-(((MIN(($E$21),99))/100))+5.0))))*100))/100))*0.96)),(((((MIN((E20),99))/100))+5.0)/(1-(((MIN((E20),99))/100))+5.0))))*100))/100))*0.96)),(((((MIN(($E$19),99))/100))+5.0)/(1-(((MIN(($E$19),99))/100))+5.0))))*100))/100))*0.96)),(((((MIN(($E$18),99))/100))+5.0)/(1-(((MIN(($E$18),99))/100))+5.0))))*100))/100))*0.96)),(((((MIN((E17),99))/100))+5.0)/(1-(((MIN((E17),99))/100))+5.0))))*100))/100))*0.96)),(((((MIN((E$16),99))/100))+5.0)/(1-(((MIN((E$16),99))/100))+5.0))))*100))/100))*0.96)),(((((MIN(($E15),99))/100))+5.0)/(1-(((MIN(($E15),99))/100))+5.0))))*100))/100))*0.96)),(((((MIN((E$14),99))/100))+5.0)/(1-(((MIN((E$14),99))/100))+5.0))))*100))/100))*0.96)),(((((MIN(($E$13),99))/100))+5.0)/(1-(((MIN(($E$13),99))/100))+5.0))))*100))/100))*0.96)),(((((MIN(($E12),99))/100))+5.0)/(1-(((MIN(($E12),99))/100))+5.0))))*100))/100))*0.96)),(((((MIN((E11),99))/100))+5.0)/(1-(((MIN((E11),99))/100))+5.0))))*100))/100))*0.96)),(((((MIN((E10),99))/100))+5.0)/(1-(((MIN((E10),99))/100))+5.0))))*100))/100))*0.96)),(((((MIN(($E9),99))/100))+5.0)/(1-(((MIN(($E9),99))/100))+5.0))))*100))/100))*0.96)),(((((MIN((E$8),99))/100))+5.0)/(1-(((MIN((E$8),99))/100))+5.0))))*100),0)</f>
        <v/>
      </c>
      <c r="F2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(47)/100))*0.96)),(((((MIN((E24),99))/100))+5.0)/(1-(((MIN((E24),99))/100))+5.0))))*100))/100))*0.96)),(((((MIN(($D$24),99))/100))+5.0)/(1-(((MIN(($D$24),99))/100))+5.0))))*100))/100))*0.96)),(((((MIN(($C$24),99))/100))+5.0)/(1-(((MIN(($C$24),99))/100))+5.0))))*100))/100))*0.96)),(((((MIN((B24),99))/100))+5.0)/(1-(((MIN((B24),99))/100))+5.0))))*100))/100))*0.96)),(((((MIN(($A24),99))/100))+5.0)/(1-(((MIN(($A24),99))/100))+5.0))))*100))/100))*0.96)),(((((MIN(($F23),99))/100))+5.0)/(1-(((MIN(($F23),99))/100))+5.0))))*100))/100))*0.96)),(((((MIN(($F$22),99))/100))+5.0)/(1-(((MIN(($F$22),99))/100))+5.0))))*100))/100))*0.96)),(((((MIN(($F$21),99))/100))+5.0)/(1-(((MIN(($F$21),99))/100))+5.0))))*100))/100))*0.96)),(((((MIN((F20),99))/100))+5.0)/(1-(((MIN((F20),99))/100))+5.0))))*100))/100))*0.96)),(((((MIN((F19),99))/100))+5.0)/(1-(((MIN((F19),99))/100))+5.0))))*100))/100))*0.96)),(((((MIN((F$18),99))/100))+5.0)/(1-(((MIN((F$18),99))/100))+5.0))))*100))/100))*0.96)),(((((MIN(($F17),99))/100))+5.0)/(1-(((MIN(($F17),99))/100))+5.0))))*100))/100))*0.96)),(((((MIN(($F$16),99))/100))+5.0)/(1-(((MIN(($F$16),99))/100))+5.0))))*100))/100))*0.96)),(((((MIN((F15),99))/100))+5.0)/(1-(((MIN((F15),99))/100))+5.0))))*100))/100))*0.96)),(((((MIN(($F$14),99))/100))+5.0)/(1-(((MIN(($F$14),99))/100))+5.0))))*100))/100))*0.96)),(((((MIN(($F13),99))/100))+5.0)/(1-(((MIN(($F13),99))/100))+5.0))))*100))/100))*0.96)),(((((MIN(($F12),99))/100))+5.0)/(1-(((MIN(($F12),99))/100))+5.0))))*100))/100))*0.96)),(((((MIN((F$11),99))/100))+5.0)/(1-(((MIN((F$11),99))/100))+5.0))))*100))/100))*0.96)),(((((MIN((F10),99))/100))+5.0)/(1-(((MIN((F10),99))/100))+5.0))))*100))/100))*0.96)),(((((MIN(($F$9),99))/100))+5.0)/(1-(((MIN(($F$9),99))/100))+5.0))))*100))/100))*0.96)),(((((MIN((F8),99))/100))+5.0)/(1-(((MIN((F8),99))/100))+5.0))))*100),0)</f>
        <v/>
      </c>
      <c r="G2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(92)/100))*0.96)),(((((MIN(($F24),99))/100))+5.0)/(1-(((MIN(($F24),99))/100))+5.0))))*100))/100))*0.96)),(((((MIN(($E24),99))/100))+5.0)/(1-(((MIN(($E24),99))/100))+5.0))))*100))/100))*0.96)),(((((MIN(($D24),99))/100))+5.0)/(1-(((MIN(($D24),99))/100))+5.0))))*100))/100))*0.96)),(((((MIN(($C24),99))/100))+5.0)/(1-(((MIN(($C24),99))/100))+5.0))))*100))/100))*0.96)),(((((MIN(($B24),99))/100))+5.0)/(1-(((MIN(($B24),99))/100))+5.0))))*100))/100))*0.96)),(((((MIN(($A$24),99))/100))+5.0)/(1-(((MIN(($A$24),99))/100))+5.0))))*100))/100))*0.96)),(((((MIN((G$23),99))/100))+5.0)/(1-(((MIN((G$23),99))/100))+5.0))))*100))/100))*0.96)),(((((MIN((G$22),99))/100))+5.0)/(1-(((MIN((G$22),99))/100))+5.0))))*100))/100))*0.96)),(((((MIN(($G21),99))/100))+5.0)/(1-(((MIN(($G21),99))/100))+5.0))))*100))/100))*0.96)),(((((MIN(($G20),99))/100))+5.0)/(1-(((MIN(($G20),99))/100))+5.0))))*100))/100))*0.96)),(((((MIN((G$19),99))/100))+5.0)/(1-(((MIN((G$19),99))/100))+5.0))))*100))/100))*0.96)),(((((MIN(($G$18),99))/100))+5.0)/(1-(((MIN(($G$18),99))/100))+5.0))))*100))/100))*0.96)),(((((MIN((G17),99))/100))+5.0)/(1-(((MIN((G17),99))/100))+5.0))))*100))/100))*0.96)),(((((MIN(($G$16),99))/100))+5.0)/(1-(((MIN(($G$16),99))/100))+5.0))))*100))/100))*0.96)),(((((MIN(($G15),99))/100))+5.0)/(1-(((MIN(($G15),99))/100))+5.0))))*100))/100))*0.96)),(((((MIN((G$14),99))/100))+5.0)/(1-(((MIN((G$14),99))/100))+5.0))))*100))/100))*0.96)),(((((MIN(($G$13),99))/100))+5.0)/(1-(((MIN(($G$13),99))/100))+5.0))))*100))/100))*0.96)),(((((MIN((G$12),99))/100))+5.0)/(1-(((MIN((G$12),99))/100))+5.0))))*100))/100))*0.96)),(((((MIN(($G11),99))/100))+5.0)/(1-(((MIN(($G11),99))/100))+5.0))))*100))/100))*0.96)),(((((MIN(($G10),99))/100))+5.0)/(1-(((MIN(($G10),99))/100))+5.0))))*100))/100))*0.96)),(((((MIN((G$9),99))/100))+5.0)/(1-(((MIN((G$9),99))/100))+5.0))))*100))/100))*0.96)),(((((MIN((G8),99))/100))+5.0)/(1-(((MIN((G8),99))/100))+5.0))))*100),0)</f>
        <v/>
      </c>
      <c r="H2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(47)/100))*0.96)),(((((MIN(($G$24),99))/100))+5.0)/(1-(((MIN(($G$24),99))/100))+5.0))))*100))/100))*0.96)),(((((MIN(($F24),99))/100))+5.0)/(1-(((MIN(($F24),99))/100))+5.0))))*100))/100))*0.96)),(((((MIN((E24),99))/100))+5.0)/(1-(((MIN((E24),99))/100))+5.0))))*100))/100))*0.96)),(((((MIN((D24),99))/100))+5.0)/(1-(((MIN((D24),99))/100))+5.0))))*100))/100))*0.96)),(((((MIN(($C$24),99))/100))+5.0)/(1-(((MIN(($C$24),99))/100))+5.0))))*100))/100))*0.96)),(((((MIN((B$24),99))/100))+5.0)/(1-(((MIN((B$24),99))/100))+5.0))))*100))/100))*0.96)),(((((MIN(($A24),99))/100))+5.0)/(1-(((MIN(($A24),99))/100))+5.0))))*100))/100))*0.96)),(((((MIN(($H$23),99))/100))+5.0)/(1-(((MIN(($H$23),99))/100))+5.0))))*100))/100))*0.96)),(((((MIN(($H$22),99))/100))+5.0)/(1-(((MIN(($H$22),99))/100))+5.0))))*100))/100))*0.96)),(((((MIN((H21),99))/100))+5.0)/(1-(((MIN((H21),99))/100))+5.0))))*100))/100))*0.96)),(((((MIN((H$20),99))/100))+5.0)/(1-(((MIN((H$20),99))/100))+5.0))))*100))/100))*0.96)),(((((MIN((H19),99))/100))+5.0)/(1-(((MIN((H19),99))/100))+5.0))))*100))/100))*0.96)),(((((MIN((H$18),99))/100))+5.0)/(1-(((MIN((H$18),99))/100))+5.0))))*100))/100))*0.96)),(((((MIN(($H$17),99))/100))+5.0)/(1-(((MIN(($H$17),99))/100))+5.0))))*100))/100))*0.96)),(((((MIN((H16),99))/100))+5.0)/(1-(((MIN((H16),99))/100))+5.0))))*100))/100))*0.96)),(((((MIN((H15),99))/100))+5.0)/(1-(((MIN((H15),99))/100))+5.0))))*100))/100))*0.96)),(((((MIN(($H$14),99))/100))+5.0)/(1-(((MIN(($H$14),99))/100))+5.0))))*100))/100))*0.96)),(((((MIN(($H$13),99))/100))+5.0)/(1-(((MIN(($H$13),99))/100))+5.0))))*100))/100))*0.96)),(((((MIN((H$12),99))/100))+5.0)/(1-(((MIN((H$12),99))/100))+5.0))))*100))/100))*0.96)),(((((MIN((H$11),99))/100))+5.0)/(1-(((MIN((H$11),99))/100))+5.0))))*100))/100))*0.96)),(((((MIN((H10),99))/100))+5.0)/(1-(((MIN((H10),99))/100))+5.0))))*100))/100))*0.96)),(((((MIN((H$9),99))/100))+5.0)/(1-(((MIN((H$9),99))/100))+5.0))))*100))/100))*0.96)),(((((MIN(($H$8),99))/100))+5.0)/(1-(((MIN(($H$8),99))/100))+5.0))))*100),0)</f>
        <v/>
      </c>
      <c r="I2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(48)/100))*0.96)),(((((MIN((H24),99))/100))+5.0)/(1-(((MIN((H24),99))/100))+5.0))))*100))/100))*0.96)),(((((MIN(($G$24),99))/100))+5.0)/(1-(((MIN(($G$24),99))/100))+5.0))))*100))/100))*0.96)),(((((MIN(($F24),99))/100))+5.0)/(1-(((MIN(($F24),99))/100))+5.0))))*100))/100))*0.96)),(((((MIN((E$24),99))/100))+5.0)/(1-(((MIN((E$24),99))/100))+5.0))))*100))/100))*0.96)),(((((MIN(($D$24),99))/100))+5.0)/(1-(((MIN(($D$24),99))/100))+5.0))))*100))/100))*0.96)),(((((MIN(($C24),99))/100))+5.0)/(1-(((MIN(($C24),99))/100))+5.0))))*100))/100))*0.96)),(((((MIN(($B$24),99))/100))+5.0)/(1-(((MIN(($B$24),99))/100))+5.0))))*100))/100))*0.96)),(((((MIN((A$24),99))/100))+5.0)/(1-(((MIN((A$24),99))/100))+5.0))))*100))/100))*0.96)),(((((MIN(($I23),99))/100))+5.0)/(1-(((MIN(($I23),99))/100))+5.0))))*100))/100))*0.96)),(((((MIN((I$22),99))/100))+5.0)/(1-(((MIN((I$22),99))/100))+5.0))))*100))/100))*0.96)),(((((MIN(($I$21),99))/100))+5.0)/(1-(((MIN(($I$21),99))/100))+5.0))))*100))/100))*0.96)),(((((MIN((I$20),99))/100))+5.0)/(1-(((MIN((I$20),99))/100))+5.0))))*100))/100))*0.96)),(((((MIN((I19),99))/100))+5.0)/(1-(((MIN((I19),99))/100))+5.0))))*100))/100))*0.96)),(((((MIN(($I$18),99))/100))+5.0)/(1-(((MIN(($I$18),99))/100))+5.0))))*100))/100))*0.96)),(((((MIN(($I$17),99))/100))+5.0)/(1-(((MIN(($I$17),99))/100))+5.0))))*100))/100))*0.96)),(((((MIN((I$16),99))/100))+5.0)/(1-(((MIN((I$16),99))/100))+5.0))))*100))/100))*0.96)),(((((MIN((I15),99))/100))+5.0)/(1-(((MIN((I15),99))/100))+5.0))))*100))/100))*0.96)),(((((MIN((I14),99))/100))+5.0)/(1-(((MIN((I14),99))/100))+5.0))))*100))/100))*0.96)),(((((MIN((I$13),99))/100))+5.0)/(1-(((MIN((I$13),99))/100))+5.0))))*100))/100))*0.96)),(((((MIN((I12),99))/100))+5.0)/(1-(((MIN((I12),99))/100))+5.0))))*100))/100))*0.96)),(((((MIN((I11),99))/100))+5.0)/(1-(((MIN((I11),99))/100))+5.0))))*100))/100))*0.96)),(((((MIN(($I10),99))/100))+5.0)/(1-(((MIN(($I10),99))/100))+5.0))))*100))/100))*0.96)),(((((MIN((I9),99))/100))+5.0)/(1-(((MIN((I9),99))/100))+5.0))))*100))/100))*0.96)),(((((MIN(($I$8),99))/100))+5.0)/(1-(((MIN(($I$8),99))/100))+5.0))))*100),0)</f>
        <v/>
      </c>
      <c r="J2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(45)/100))*0.96)),(((((MIN(($I24),99))/100))+5.0)/(1-(((MIN(($I24),99))/100))+5.0))))*100))/100))*0.96)),(((((MIN((H$24),99))/100))+5.0)/(1-(((MIN((H$24),99))/100))+5.0))))*100))/100))*0.96)),(((((MIN((G$24),99))/100))+5.0)/(1-(((MIN((G$24),99))/100))+5.0))))*100))/100))*0.96)),(((((MIN(($F24),99))/100))+5.0)/(1-(((MIN(($F24),99))/100))+5.0))))*100))/100))*0.96)),(((((MIN(($E24),99))/100))+5.0)/(1-(((MIN(($E24),99))/100))+5.0))))*100))/100))*0.96)),(((((MIN((D$24),99))/100))+5.0)/(1-(((MIN((D$24),99))/100))+5.0))))*100))/100))*0.96)),(((((MIN(($C$24),99))/100))+5.0)/(1-(((MIN(($C$24),99))/100))+5.0))))*100))/100))*0.96)),(((((MIN((B$24),99))/100))+5.0)/(1-(((MIN((B$24),99))/100))+5.0))))*100))/100))*0.96)),(((((MIN((J$23),99))/100))+5.0)/(1-(((MIN((J$23),99))/100))+5.0))))*100))/100))*0.96)),(((((MIN(($J$22),99))/100))+5.0)/(1-(((MIN(($J$22),99))/100))+5.0))))*100))/100))*0.96)),(((((MIN((J$21),99))/100))+5.0)/(1-(((MIN((J$21),99))/100))+5.0))))*100))/100))*0.96)),(((((MIN((J$20),99))/100))+5.0)/(1-(((MIN((J$20),99))/100))+5.0))))*100))/100))*0.96)),(((((MIN((J$19),99))/100))+5.0)/(1-(((MIN((J$19),99))/100))+5.0))))*100))/100))*0.96)),(((((MIN(($J$18),99))/100))+5.0)/(1-(((MIN(($J$18),99))/100))+5.0))))*100))/100))*0.96)),(((((MIN((J$17),99))/100))+5.0)/(1-(((MIN((J$17),99))/100))+5.0))))*100))/100))*0.96)),(((((MIN(($J16),99))/100))+5.0)/(1-(((MIN(($J16),99))/100))+5.0))))*100))/100))*0.96)),(((((MIN((J15),99))/100))+5.0)/(1-(((MIN((J15),99))/100))+5.0))))*100))/100))*0.96)),(((((MIN(($J$14),99))/100))+5.0)/(1-(((MIN(($J$14),99))/100))+5.0))))*100))/100))*0.96)),(((((MIN(($J13),99))/100))+5.0)/(1-(((MIN(($J13),99))/100))+5.0))))*100))/100))*0.96)),(((((MIN((J12),99))/100))+5.0)/(1-(((MIN((J12),99))/100))+5.0))))*100))/100))*0.96)),(((((MIN(($J11),99))/100))+5.0)/(1-(((MIN(($J11),99))/100))+5.0))))*100))/100))*0.96)),(((((MIN(($J10),99))/100))+5.0)/(1-(((MIN(($J10),99))/100))+5.0))))*100))/100))*0.96)),(((((MIN(($J9),99))/100))+5.0)/(1-(((MIN(($J9),99))/100))+5.0))))*100))/100))*0.96)),(((((MIN((J$8),99))/100))+5.0)/(1-(((MIN((J$8),99))/100))+5.0))))*100),0)</f>
        <v/>
      </c>
      <c r="K2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(28)/100))*0.96)),(((((MIN(($J$24),99))/100))+5.0)/(1-(((MIN(($J$24),99))/100))+5.0))))*100))/100))*0.96)),(((((MIN(($I$24),99))/100))+5.0)/(1-(((MIN(($I$24),99))/100))+5.0))))*100))/100))*0.96)),(((((MIN(($H$24),99))/100))+5.0)/(1-(((MIN(($H$24),99))/100))+5.0))))*100))/100))*0.96)),(((((MIN(($G24),99))/100))+5.0)/(1-(((MIN(($G24),99))/100))+5.0))))*100))/100))*0.96)),(((((MIN(($F$24),99))/100))+5.0)/(1-(((MIN(($F$24),99))/100))+5.0))))*100))/100))*0.96)),(((((MIN((E24),99))/100))+5.0)/(1-(((MIN((E24),99))/100))+5.0))))*100))/100))*0.96)),(((((MIN(($D24),99))/100))+5.0)/(1-(((MIN(($D24),99))/100))+5.0))))*100))/100))*0.96)),(((((MIN(($C24),99))/100))+5.0)/(1-(((MIN(($C24),99))/100))+5.0))))*100))/100))*0.96)),(((((MIN((K23),99))/100))+5.0)/(1-(((MIN((K23),99))/100))+5.0))))*100))/100))*0.96)),(((((MIN(($K22),99))/100))+5.0)/(1-(((MIN(($K22),99))/100))+5.0))))*100))/100))*0.96)),(((((MIN(($K21),99))/100))+5.0)/(1-(((MIN(($K21),99))/100))+5.0))))*100))/100))*0.96)),(((((MIN((K$20),99))/100))+5.0)/(1-(((MIN((K$20),99))/100))+5.0))))*100))/100))*0.96)),(((((MIN(($K19),99))/100))+5.0)/(1-(((MIN(($K19),99))/100))+5.0))))*100))/100))*0.96)),(((((MIN(($K$18),99))/100))+5.0)/(1-(((MIN(($K$18),99))/100))+5.0))))*100))/100))*0.96)),(((((MIN((K$17),99))/100))+5.0)/(1-(((MIN((K$17),99))/100))+5.0))))*100))/100))*0.96)),(((((MIN((K$16),99))/100))+5.0)/(1-(((MIN((K$16),99))/100))+5.0))))*100))/100))*0.96)),(((((MIN((K15),99))/100))+5.0)/(1-(((MIN((K15),99))/100))+5.0))))*100))/100))*0.96)),(((((MIN((K14),99))/100))+5.0)/(1-(((MIN((K14),99))/100))+5.0))))*100))/100))*0.96)),(((((MIN(($K$13),99))/100))+5.0)/(1-(((MIN(($K$13),99))/100))+5.0))))*100))/100))*0.96)),(((((MIN((K12),99))/100))+5.0)/(1-(((MIN((K12),99))/100))+5.0))))*100))/100))*0.96)),(((((MIN((K11),99))/100))+5.0)/(1-(((MIN((K11),99))/100))+5.0))))*100))/100))*0.96)),(((((MIN((K$10),99))/100))+5.0)/(1-(((MIN((K$10),99))/100))+5.0))))*100))/100))*0.96)),(((((MIN((K9),99))/100))+5.0)/(1-(((MIN((K9),99))/100))+5.0))))*100))/100))*0.96)),(((((MIN((K$8),99))/100))+5.0)/(1-(((MIN((K$8),99))/100))+5.0))))*100),0)</f>
        <v/>
      </c>
      <c r="L2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(87)/100))*0.96)),(((((MIN(($K24),99))/100))+5.0)/(1-(((MIN(($K24),99))/100))+5.0))))*100))/100))*0.96)),(((((MIN((J$24),99))/100))+5.0)/(1-(((MIN((J$24),99))/100))+5.0))))*100))/100))*0.96)),(((((MIN((I24),99))/100))+5.0)/(1-(((MIN((I24),99))/100))+5.0))))*100))/100))*0.96)),(((((MIN((H$24),99))/100))+5.0)/(1-(((MIN((H$24),99))/100))+5.0))))*100))/100))*0.96)),(((((MIN((G24),99))/100))+5.0)/(1-(((MIN((G24),99))/100))+5.0))))*100))/100))*0.96)),(((((MIN((F$24),99))/100))+5.0)/(1-(((MIN((F$24),99))/100))+5.0))))*100))/100))*0.96)),(((((MIN((E24),99))/100))+5.0)/(1-(((MIN((E24),99))/100))+5.0))))*100))/100))*0.96)),(((((MIN(($D24),99))/100))+5.0)/(1-(((MIN(($D24),99))/100))+5.0))))*100))/100))*0.96)),(((((MIN((L$23),99))/100))+5.0)/(1-(((MIN((L$23),99))/100))+5.0))))*100))/100))*0.96)),(((((MIN(($L$22),99))/100))+5.0)/(1-(((MIN(($L$22),99))/100))+5.0))))*100))/100))*0.96)),(((((MIN(($L$21),99))/100))+5.0)/(1-(((MIN(($L$21),99))/100))+5.0))))*100))/100))*0.96)),(((((MIN((L$20),99))/100))+5.0)/(1-(((MIN((L$20),99))/100))+5.0))))*100))/100))*0.96)),(((((MIN((L19),99))/100))+5.0)/(1-(((MIN((L19),99))/100))+5.0))))*100))/100))*0.96)),(((((MIN((L$18),99))/100))+5.0)/(1-(((MIN((L$18),99))/100))+5.0))))*100))/100))*0.96)),(((((MIN(($L$17),99))/100))+5.0)/(1-(((MIN(($L$17),99))/100))+5.0))))*100))/100))*0.96)),(((((MIN((L16),99))/100))+5.0)/(1-(((MIN((L16),99))/100))+5.0))))*100))/100))*0.96)),(((((MIN((L15),99))/100))+5.0)/(1-(((MIN((L15),99))/100))+5.0))))*100))/100))*0.96)),(((((MIN(($L14),99))/100))+5.0)/(1-(((MIN(($L14),99))/100))+5.0))))*100))/100))*0.96)),(((((MIN(($L$13),99))/100))+5.0)/(1-(((MIN(($L$13),99))/100))+5.0))))*100))/100))*0.96)),(((((MIN(($L$12),99))/100))+5.0)/(1-(((MIN(($L$12),99))/100))+5.0))))*100))/100))*0.96)),(((((MIN((L$11),99))/100))+5.0)/(1-(((MIN((L$11),99))/100))+5.0))))*100))/100))*0.96)),(((((MIN((L10),99))/100))+5.0)/(1-(((MIN((L10),99))/100))+5.0))))*100))/100))*0.96)),(((((MIN((L9),99))/100))+5.0)/(1-(((MIN((L9),99))/100))+5.0))))*100))/100))*0.96)),(((((MIN((L8),99))/100))+5.0)/(1-(((MIN((L8),99))/100))+5.0))))*100),0)</f>
        <v/>
      </c>
      <c r="M2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(40)/100))*0.96)),(((((MIN(($L$24),99))/100))+5.0)/(1-(((MIN(($L$24),99))/100))+5.0))))*100))/100))*0.96)),(((((MIN((K$24),99))/100))+5.0)/(1-(((MIN((K$24),99))/100))+5.0))))*100))/100))*0.96)),(((((MIN((J24),99))/100))+5.0)/(1-(((MIN((J24),99))/100))+5.0))))*100))/100))*0.96)),(((((MIN(($I24),99))/100))+5.0)/(1-(((MIN(($I24),99))/100))+5.0))))*100))/100))*0.96)),(((((MIN((H24),99))/100))+5.0)/(1-(((MIN((H24),99))/100))+5.0))))*100))/100))*0.96)),(((((MIN(($G$24),99))/100))+5.0)/(1-(((MIN(($G$24),99))/100))+5.0))))*100))/100))*0.96)),(((((MIN(($F24),99))/100))+5.0)/(1-(((MIN(($F24),99))/100))+5.0))))*100))/100))*0.96)),(((((MIN((E24),99))/100))+5.0)/(1-(((MIN((E24),99))/100))+5.0))))*100))/100))*0.96)),(((((MIN(($M23),99))/100))+5.0)/(1-(((MIN(($M23),99))/100))+5.0))))*100))/100))*0.96)),(((((MIN((M22),99))/100))+5.0)/(1-(((MIN((M22),99))/100))+5.0))))*100))/100))*0.96)),(((((MIN(($M$21),99))/100))+5.0)/(1-(((MIN(($M$21),99))/100))+5.0))))*100))/100))*0.96)),(((((MIN((M20),99))/100))+5.0)/(1-(((MIN((M20),99))/100))+5.0))))*100))/100))*0.96)),(((((MIN((M19),99))/100))+5.0)/(1-(((MIN((M19),99))/100))+5.0))))*100))/100))*0.96)),(((((MIN((M18),99))/100))+5.0)/(1-(((MIN((M18),99))/100))+5.0))))*100))/100))*0.96)),(((((MIN(($M$17),99))/100))+5.0)/(1-(((MIN(($M$17),99))/100))+5.0))))*100))/100))*0.96)),(((((MIN((M16),99))/100))+5.0)/(1-(((MIN((M16),99))/100))+5.0))))*100))/100))*0.96)),(((((MIN((M$15),99))/100))+5.0)/(1-(((MIN((M$15),99))/100))+5.0))))*100))/100))*0.96)),(((((MIN((M$14),99))/100))+5.0)/(1-(((MIN((M$14),99))/100))+5.0))))*100))/100))*0.96)),(((((MIN((M$13),99))/100))+5.0)/(1-(((MIN((M$13),99))/100))+5.0))))*100))/100))*0.96)),(((((MIN((M$12),99))/100))+5.0)/(1-(((MIN((M$12),99))/100))+5.0))))*100))/100))*0.96)),(((((MIN((M$11),99))/100))+5.0)/(1-(((MIN((M$11),99))/100))+5.0))))*100))/100))*0.96)),(((((MIN(($M$10),99))/100))+5.0)/(1-(((MIN(($M$10),99))/100))+5.0))))*100))/100))*0.96)),(((((MIN(($M9),99))/100))+5.0)/(1-(((MIN(($M9),99))/100))+5.0))))*100))/100))*0.96)),(((((MIN((M$8),99))/100))+5.0)/(1-(((MIN((M$8),99))/100))+5.0))))*100),0)</f>
        <v/>
      </c>
      <c r="N2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(40)/100))*0.96)),(((((MIN((M24),99))/100))+5.0)/(1-(((MIN((M24),99))/100))+5.0))))*100))/100))*0.96)),(((((MIN(($L24),99))/100))+5.0)/(1-(((MIN(($L24),99))/100))+5.0))))*100))/100))*0.96)),(((((MIN((K24),99))/100))+5.0)/(1-(((MIN((K24),99))/100))+5.0))))*100))/100))*0.96)),(((((MIN((J$24),99))/100))+5.0)/(1-(((MIN((J$24),99))/100))+5.0))))*100))/100))*0.96)),(((((MIN((I$24),99))/100))+5.0)/(1-(((MIN((I$24),99))/100))+5.0))))*100))/100))*0.96)),(((((MIN((H$24),99))/100))+5.0)/(1-(((MIN((H$24),99))/100))+5.0))))*100))/100))*0.96)),(((((MIN((G$24),99))/100))+5.0)/(1-(((MIN((G$24),99))/100))+5.0))))*100))/100))*0.96)),(((((MIN((F$24),99))/100))+5.0)/(1-(((MIN((F$24),99))/100))+5.0))))*100))/100))*0.96)),(((((MIN((N23),99))/100))+5.0)/(1-(((MIN((N23),99))/100))+5.0))))*100))/100))*0.96)),(((((MIN(($N$22),99))/100))+5.0)/(1-(((MIN(($N$22),99))/100))+5.0))))*100))/100))*0.96)),(((((MIN((N$21),99))/100))+5.0)/(1-(((MIN((N$21),99))/100))+5.0))))*100))/100))*0.96)),(((((MIN(($N$20),99))/100))+5.0)/(1-(((MIN(($N$20),99))/100))+5.0))))*100))/100))*0.96)),(((((MIN((N$19),99))/100))+5.0)/(1-(((MIN((N$19),99))/100))+5.0))))*100))/100))*0.96)),(((((MIN((N$18),99))/100))+5.0)/(1-(((MIN((N$18),99))/100))+5.0))))*100))/100))*0.96)),(((((MIN((N17),99))/100))+5.0)/(1-(((MIN((N17),99))/100))+5.0))))*100))/100))*0.96)),(((((MIN(($N$16),99))/100))+5.0)/(1-(((MIN(($N$16),99))/100))+5.0))))*100))/100))*0.96)),(((((MIN(($N$15),99))/100))+5.0)/(1-(((MIN(($N$15),99))/100))+5.0))))*100))/100))*0.96)),(((((MIN((N14),99))/100))+5.0)/(1-(((MIN((N14),99))/100))+5.0))))*100))/100))*0.96)),(((((MIN((N$13),99))/100))+5.0)/(1-(((MIN((N$13),99))/100))+5.0))))*100))/100))*0.96)),(((((MIN((N$12),99))/100))+5.0)/(1-(((MIN((N$12),99))/100))+5.0))))*100))/100))*0.96)),(((((MIN((N$11),99))/100))+5.0)/(1-(((MIN((N$11),99))/100))+5.0))))*100))/100))*0.96)),(((((MIN(($N10),99))/100))+5.0)/(1-(((MIN(($N10),99))/100))+5.0))))*100))/100))*0.96)),(((((MIN((N$9),99))/100))+5.0)/(1-(((MIN((N$9),99))/100))+5.0))))*100))/100))*0.96)),(((((MIN((N$8),99))/100))+5.0)/(1-(((MIN((N$8),99))/100))+5.0))))*100),0)</f>
        <v/>
      </c>
      <c r="O2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(27)/100))*0.96)),(((((MIN(($N24),99))/100))+5.0)/(1-(((MIN(($N24),99))/100))+5.0))))*100))/100))*0.96)),(((((MIN(($M24),99))/100))+5.0)/(1-(((MIN(($M24),99))/100))+5.0))))*100))/100))*0.96)),(((((MIN(($L$24),99))/100))+5.0)/(1-(((MIN(($L$24),99))/100))+5.0))))*100))/100))*0.96)),(((((MIN(($K24),99))/100))+5.0)/(1-(((MIN(($K24),99))/100))+5.0))))*100))/100))*0.96)),(((((MIN((J$24),99))/100))+5.0)/(1-(((MIN((J$24),99))/100))+5.0))))*100))/100))*0.96)),(((((MIN((I24),99))/100))+5.0)/(1-(((MIN((I24),99))/100))+5.0))))*100))/100))*0.96)),(((((MIN(($H24),99))/100))+5.0)/(1-(((MIN(($H24),99))/100))+5.0))))*100))/100))*0.96)),(((((MIN(($G$24),99))/100))+5.0)/(1-(((MIN(($G$24),99))/100))+5.0))))*100))/100))*0.96)),(((((MIN(($O$23),99))/100))+5.0)/(1-(((MIN(($O$23),99))/100))+5.0))))*100))/100))*0.96)),(((((MIN((O$22),99))/100))+5.0)/(1-(((MIN((O$22),99))/100))+5.0))))*100))/100))*0.96)),(((((MIN((O21),99))/100))+5.0)/(1-(((MIN((O21),99))/100))+5.0))))*100))/100))*0.96)),(((((MIN((O$20),99))/100))+5.0)/(1-(((MIN((O$20),99))/100))+5.0))))*100))/100))*0.96)),(((((MIN((O$19),99))/100))+5.0)/(1-(((MIN((O$19),99))/100))+5.0))))*100))/100))*0.96)),(((((MIN(($O$18),99))/100))+5.0)/(1-(((MIN(($O$18),99))/100))+5.0))))*100))/100))*0.96)),(((((MIN((O$17),99))/100))+5.0)/(1-(((MIN((O$17),99))/100))+5.0))))*100))/100))*0.96)),(((((MIN(($O16),99))/100))+5.0)/(1-(((MIN(($O16),99))/100))+5.0))))*100))/100))*0.96)),(((((MIN(($O15),99))/100))+5.0)/(1-(((MIN(($O15),99))/100))+5.0))))*100))/100))*0.96)),(((((MIN(($O$14),99))/100))+5.0)/(1-(((MIN(($O$14),99))/100))+5.0))))*100))/100))*0.96)),(((((MIN((O$13),99))/100))+5.0)/(1-(((MIN((O$13),99))/100))+5.0))))*100))/100))*0.96)),(((((MIN(($O12),99))/100))+5.0)/(1-(((MIN(($O12),99))/100))+5.0))))*100))/100))*0.96)),(((((MIN(($O11),99))/100))+5.0)/(1-(((MIN(($O11),99))/100))+5.0))))*100))/100))*0.96)),(((((MIN(($O10),99))/100))+5.0)/(1-(((MIN(($O10),99))/100))+5.0))))*100))/100))*0.96)),(((((MIN(($O$9),99))/100))+5.0)/(1-(((MIN(($O$9),99))/100))+5.0))))*100))/100))*0.96)),(((((MIN(($O$8),99))/100))+5.0)/(1-(((MIN(($O$8),99))/100))+5.0))))*100),0)</f>
        <v/>
      </c>
      <c r="P2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(88)/100))*0.96)),(((((MIN((O24),99))/100))+5.0)/(1-(((MIN((O24),99))/100))+5.0))))*100))/100))*0.96)),(((((MIN(($N$24),99))/100))+5.0)/(1-(((MIN(($N$24),99))/100))+5.0))))*100))/100))*0.96)),(((((MIN(($M$24),99))/100))+5.0)/(1-(((MIN(($M$24),99))/100))+5.0))))*100))/100))*0.96)),(((((MIN(($L$24),99))/100))+5.0)/(1-(((MIN(($L$24),99))/100))+5.0))))*100))/100))*0.96)),(((((MIN(($K$24),99))/100))+5.0)/(1-(((MIN(($K$24),99))/100))+5.0))))*100))/100))*0.96)),(((((MIN(($J24),99))/100))+5.0)/(1-(((MIN(($J24),99))/100))+5.0))))*100))/100))*0.96)),(((((MIN(($I$24),99))/100))+5.0)/(1-(((MIN(($I$24),99))/100))+5.0))))*100))/100))*0.96)),(((((MIN(($H24),99))/100))+5.0)/(1-(((MIN(($H24),99))/100))+5.0))))*100))/100))*0.96)),(((((MIN((P$23),99))/100))+5.0)/(1-(((MIN((P$23),99))/100))+5.0))))*100))/100))*0.96)),(((((MIN((P$22),99))/100))+5.0)/(1-(((MIN((P$22),99))/100))+5.0))))*100))/100))*0.96)),(((((MIN(($P$21),99))/100))+5.0)/(1-(((MIN(($P$21),99))/100))+5.0))))*100))/100))*0.96)),(((((MIN((P$20),99))/100))+5.0)/(1-(((MIN((P$20),99))/100))+5.0))))*100))/100))*0.96)),(((((MIN(($P19),99))/100))+5.0)/(1-(((MIN(($P19),99))/100))+5.0))))*100))/100))*0.96)),(((((MIN(($P18),99))/100))+5.0)/(1-(((MIN(($P18),99))/100))+5.0))))*100))/100))*0.96)),(((((MIN(($P17),99))/100))+5.0)/(1-(((MIN(($P17),99))/100))+5.0))))*100))/100))*0.96)),(((((MIN(($P$16),99))/100))+5.0)/(1-(((MIN(($P$16),99))/100))+5.0))))*100))/100))*0.96)),(((((MIN((P$15),99))/100))+5.0)/(1-(((MIN((P$15),99))/100))+5.0))))*100))/100))*0.96)),(((((MIN((P$14),99))/100))+5.0)/(1-(((MIN((P$14),99))/100))+5.0))))*100))/100))*0.96)),(((((MIN(($P$13),99))/100))+5.0)/(1-(((MIN(($P$13),99))/100))+5.0))))*100))/100))*0.96)),(((((MIN((P12),99))/100))+5.0)/(1-(((MIN((P12),99))/100))+5.0))))*100))/100))*0.96)),(((((MIN((P$11),99))/100))+5.0)/(1-(((MIN((P$11),99))/100))+5.0))))*100))/100))*0.96)),(((((MIN(($P10),99))/100))+5.0)/(1-(((MIN(($P10),99))/100))+5.0))))*100))/100))*0.96)),(((((MIN(($P9),99))/100))+5.0)/(1-(((MIN(($P9),99))/100))+5.0))))*100))/100))*0.96)),(((((MIN(($P8),99))/100))+5.0)/(1-(((MIN(($P8),99))/100))+5.0))))*100),0)</f>
        <v/>
      </c>
      <c r="Q2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(33)/100))*0.96)),(((((MIN((P$24),99))/100))+5.0)/(1-(((MIN((P$24),99))/100))+5.0))))*100))/100))*0.96)),(((((MIN(($O24),99))/100))+5.0)/(1-(((MIN(($O24),99))/100))+5.0))))*100))/100))*0.96)),(((((MIN((N24),99))/100))+5.0)/(1-(((MIN((N24),99))/100))+5.0))))*100))/100))*0.96)),(((((MIN(($M24),99))/100))+5.0)/(1-(((MIN(($M24),99))/100))+5.0))))*100))/100))*0.96)),(((((MIN((L$24),99))/100))+5.0)/(1-(((MIN((L$24),99))/100))+5.0))))*100))/100))*0.96)),(((((MIN((K24),99))/100))+5.0)/(1-(((MIN((K24),99))/100))+5.0))))*100))/100))*0.96)),(((((MIN(($J$24),99))/100))+5.0)/(1-(((MIN(($J$24),99))/100))+5.0))))*100))/100))*0.96)),(((((MIN(($I$24),99))/100))+5.0)/(1-(((MIN(($I$24),99))/100))+5.0))))*100))/100))*0.96)),(((((MIN((Q23),99))/100))+5.0)/(1-(((MIN((Q23),99))/100))+5.0))))*100))/100))*0.96)),(((((MIN(($Q22),99))/100))+5.0)/(1-(((MIN(($Q22),99))/100))+5.0))))*100))/100))*0.96)),(((((MIN(($Q21),99))/100))+5.0)/(1-(((MIN(($Q21),99))/100))+5.0))))*100))/100))*0.96)),(((((MIN((Q$20),99))/100))+5.0)/(1-(((MIN((Q$20),99))/100))+5.0))))*100))/100))*0.96)),(((((MIN((Q$19),99))/100))+5.0)/(1-(((MIN((Q$19),99))/100))+5.0))))*100))/100))*0.96)),(((((MIN(($Q$18),99))/100))+5.0)/(1-(((MIN(($Q$18),99))/100))+5.0))))*100))/100))*0.96)),(((((MIN((Q17),99))/100))+5.0)/(1-(((MIN((Q17),99))/100))+5.0))))*100))/100))*0.96)),(((((MIN((Q$16),99))/100))+5.0)/(1-(((MIN((Q$16),99))/100))+5.0))))*100))/100))*0.96)),(((((MIN((Q15),99))/100))+5.0)/(1-(((MIN((Q15),99))/100))+5.0))))*100))/100))*0.96)),(((((MIN((Q$14),99))/100))+5.0)/(1-(((MIN((Q$14),99))/100))+5.0))))*100))/100))*0.96)),(((((MIN((Q13),99))/100))+5.0)/(1-(((MIN((Q13),99))/100))+5.0))))*100))/100))*0.96)),(((((MIN(($Q12),99))/100))+5.0)/(1-(((MIN(($Q12),99))/100))+5.0))))*100))/100))*0.96)),(((((MIN(($Q$11),99))/100))+5.0)/(1-(((MIN(($Q$11),99))/100))+5.0))))*100))/100))*0.96)),(((((MIN(($Q$10),99))/100))+5.0)/(1-(((MIN(($Q$10),99))/100))+5.0))))*100))/100))*0.96)),(((((MIN(($Q$9),99))/100))+5.0)/(1-(((MIN(($Q$9),99))/100))+5.0))))*100))/100))*0.96)),(((((MIN(($Q$8),99))/100))+5.0)/(1-(((MIN(($Q$8),99))/100))+5.0))))*100),0)</f>
        <v/>
      </c>
      <c r="R2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(50)/100))*0.96)),(((((MIN(($Q24),99))/100))+5.0)/(1-(((MIN(($Q24),99))/100))+5.0))))*100))/100))*0.96)),(((((MIN((P$24),99))/100))+5.0)/(1-(((MIN((P$24),99))/100))+5.0))))*100))/100))*0.96)),(((((MIN((O24),99))/100))+5.0)/(1-(((MIN((O24),99))/100))+5.0))))*100))/100))*0.96)),(((((MIN((N$24),99))/100))+5.0)/(1-(((MIN((N$24),99))/100))+5.0))))*100))/100))*0.96)),(((((MIN(($M24),99))/100))+5.0)/(1-(((MIN(($M24),99))/100))+5.0))))*100))/100))*0.96)),(((((MIN(($L24),99))/100))+5.0)/(1-(((MIN(($L24),99))/100))+5.0))))*100))/100))*0.96)),(((((MIN(($K$24),99))/100))+5.0)/(1-(((MIN(($K$24),99))/100))+5.0))))*100))/100))*0.96)),(((((MIN((J24),99))/100))+5.0)/(1-(((MIN((J24),99))/100))+5.0))))*100))/100))*0.96)),(((((MIN((R$23),99))/100))+5.0)/(1-(((MIN((R$23),99))/100))+5.0))))*100))/100))*0.96)),(((((MIN(($R$22),99))/100))+5.0)/(1-(((MIN(($R$22),99))/100))+5.0))))*100))/100))*0.96)),(((((MIN(($R21),99))/100))+5.0)/(1-(((MIN(($R21),99))/100))+5.0))))*100))/100))*0.96)),(((((MIN(($R20),99))/100))+5.0)/(1-(((MIN(($R20),99))/100))+5.0))))*100))/100))*0.96)),(((((MIN((R$19),99))/100))+5.0)/(1-(((MIN((R$19),99))/100))+5.0))))*100))/100))*0.96)),(((((MIN(($R18),99))/100))+5.0)/(1-(((MIN(($R18),99))/100))+5.0))))*100))/100))*0.96)),(((((MIN((R$17),99))/100))+5.0)/(1-(((MIN((R$17),99))/100))+5.0))))*100))/100))*0.96)),(((((MIN(($R$16),99))/100))+5.0)/(1-(((MIN(($R$16),99))/100))+5.0))))*100))/100))*0.96)),(((((MIN(($R15),99))/100))+5.0)/(1-(((MIN(($R15),99))/100))+5.0))))*100))/100))*0.96)),(((((MIN(($R$14),99))/100))+5.0)/(1-(((MIN(($R$14),99))/100))+5.0))))*100))/100))*0.96)),(((((MIN((R13),99))/100))+5.0)/(1-(((MIN((R13),99))/100))+5.0))))*100))/100))*0.96)),(((((MIN(($R12),99))/100))+5.0)/(1-(((MIN(($R12),99))/100))+5.0))))*100))/100))*0.96)),(((((MIN((R$11),99))/100))+5.0)/(1-(((MIN((R$11),99))/100))+5.0))))*100))/100))*0.96)),(((((MIN(($R10),99))/100))+5.0)/(1-(((MIN(($R10),99))/100))+5.0))))*100))/100))*0.96)),(((((MIN(($R9),99))/100))+5.0)/(1-(((MIN(($R9),99))/100))+5.0))))*100))/100))*0.96)),(((((MIN(($R$8),99))/100))+5.0)/(1-(((MIN(($R$8),99))/100))+5.0))))*100),0)</f>
        <v/>
      </c>
      <c r="S2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(23)/100))*0.96)),(((((MIN(($R24),99))/100))+5.0)/(1-(((MIN(($R24),99))/100))+5.0))))*100))/100))*0.96)),(((((MIN(($Q$24),99))/100))+5.0)/(1-(((MIN(($Q$24),99))/100))+5.0))))*100))/100))*0.96)),(((((MIN((P$24),99))/100))+5.0)/(1-(((MIN((P$24),99))/100))+5.0))))*100))/100))*0.96)),(((((MIN((O$24),99))/100))+5.0)/(1-(((MIN((O$24),99))/100))+5.0))))*100))/100))*0.96)),(((((MIN((N$24),99))/100))+5.0)/(1-(((MIN((N$24),99))/100))+5.0))))*100))/100))*0.96)),(((((MIN((M24),99))/100))+5.0)/(1-(((MIN((M24),99))/100))+5.0))))*100))/100))*0.96)),(((((MIN((L24),99))/100))+5.0)/(1-(((MIN((L24),99))/100))+5.0))))*100))/100))*0.96)),(((((MIN(($K24),99))/100))+5.0)/(1-(((MIN(($K24),99))/100))+5.0))))*100))/100))*0.96)),(((((MIN(($S$23),99))/100))+5.0)/(1-(((MIN(($S$23),99))/100))+5.0))))*100))/100))*0.96)),(((((MIN((S22),99))/100))+5.0)/(1-(((MIN((S22),99))/100))+5.0))))*100))/100))*0.96)),(((((MIN(($S$21),99))/100))+5.0)/(1-(((MIN(($S$21),99))/100))+5.0))))*100))/100))*0.96)),(((((MIN(($S20),99))/100))+5.0)/(1-(((MIN(($S20),99))/100))+5.0))))*100))/100))*0.96)),(((((MIN((S$19),99))/100))+5.0)/(1-(((MIN((S$19),99))/100))+5.0))))*100))/100))*0.96)),(((((MIN((S$18),99))/100))+5.0)/(1-(((MIN((S$18),99))/100))+5.0))))*100))/100))*0.96)),(((((MIN((S17),99))/100))+5.0)/(1-(((MIN((S17),99))/100))+5.0))))*100))/100))*0.96)),(((((MIN(($S$16),99))/100))+5.0)/(1-(((MIN(($S$16),99))/100))+5.0))))*100))/100))*0.96)),(((((MIN(($S$15),99))/100))+5.0)/(1-(((MIN(($S$15),99))/100))+5.0))))*100))/100))*0.96)),(((((MIN(($S14),99))/100))+5.0)/(1-(((MIN(($S14),99))/100))+5.0))))*100))/100))*0.96)),(((((MIN(($S$13),99))/100))+5.0)/(1-(((MIN(($S$13),99))/100))+5.0))))*100))/100))*0.96)),(((((MIN((S12),99))/100))+5.0)/(1-(((MIN((S12),99))/100))+5.0))))*100))/100))*0.96)),(((((MIN((S$11),99))/100))+5.0)/(1-(((MIN((S$11),99))/100))+5.0))))*100))/100))*0.96)),(((((MIN((S10),99))/100))+5.0)/(1-(((MIN((S10),99))/100))+5.0))))*100))/100))*0.96)),(((((MIN(($S$9),99))/100))+5.0)/(1-(((MIN(($S$9),99))/100))+5.0))))*100))/100))*0.96)),(((((MIN((S8),99))/100))+5.0)/(1-(((MIN((S8),99))/100))+5.0))))*100),0)</f>
        <v/>
      </c>
      <c r="T24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(5)/100))*0.96)),(((((MIN(($S$24),99))/100))+5.0)/(1-(((MIN(($S$24),99))/100))+5.0))))*100))/100))*0.96)),(((((MIN(($R24),99))/100))+5.0)/(1-(((MIN(($R24),99))/100))+5.0))))*100))/100))*0.96)),(((((MIN(($Q$24),99))/100))+5.0)/(1-(((MIN(($Q$24),99))/100))+5.0))))*100))/100))*0.96)),(((((MIN((P$24),99))/100))+5.0)/(1-(((MIN((P$24),99))/100))+5.0))))*100))/100))*0.96)),(((((MIN(($O24),99))/100))+5.0)/(1-(((MIN(($O24),99))/100))+5.0))))*100))/100))*0.96)),(((((MIN(($N24),99))/100))+5.0)/(1-(((MIN(($N24),99))/100))+5.0))))*100))/100))*0.96)),(((((MIN(($M24),99))/100))+5.0)/(1-(((MIN(($M24),99))/100))+5.0))))*100))/100))*0.96)),(((((MIN(($L24),99))/100))+5.0)/(1-(((MIN(($L24),99))/100))+5.0))))*100))/100))*0.96)),(((((MIN(($T$23),99))/100))+5.0)/(1-(((MIN(($T$23),99))/100))+5.0))))*100))/100))*0.96)),(((((MIN(($T22),99))/100))+5.0)/(1-(((MIN(($T22),99))/100))+5.0))))*100))/100))*0.96)),(((((MIN((T21),99))/100))+5.0)/(1-(((MIN((T21),99))/100))+5.0))))*100))/100))*0.96)),(((((MIN(($T20),99))/100))+5.0)/(1-(((MIN(($T20),99))/100))+5.0))))*100))/100))*0.96)),(((((MIN(($T$19),99))/100))+5.0)/(1-(((MIN(($T$19),99))/100))+5.0))))*100))/100))*0.96)),(((((MIN(($T18),99))/100))+5.0)/(1-(((MIN(($T18),99))/100))+5.0))))*100))/100))*0.96)),(((((MIN((T17),99))/100))+5.0)/(1-(((MIN((T17),99))/100))+5.0))))*100))/100))*0.96)),(((((MIN((T$16),99))/100))+5.0)/(1-(((MIN((T$16),99))/100))+5.0))))*100))/100))*0.96)),(((((MIN((T$15),99))/100))+5.0)/(1-(((MIN((T$15),99))/100))+5.0))))*100))/100))*0.96)),(((((MIN((T$14),99))/100))+5.0)/(1-(((MIN((T$14),99))/100))+5.0))))*100))/100))*0.96)),(((((MIN(($T$13),99))/100))+5.0)/(1-(((MIN(($T$13),99))/100))+5.0))))*100))/100))*0.96)),(((((MIN((T$12),99))/100))+5.0)/(1-(((MIN((T$12),99))/100))+5.0))))*100))/100))*0.96)),(((((MIN(($T11),99))/100))+5.0)/(1-(((MIN(($T11),99))/100))+5.0))))*100))/100))*0.96)),(((((MIN((T10),99))/100))+5.0)/(1-(((MIN((T10),99))/100))+5.0))))*100))/100))*0.96)),(((((MIN((T9),99))/100))+5.0)/(1-(((MIN((T9),99))/100))+5.0))))*100))/100))*0.96)),(((((MIN(($T8),99))/100))+5.0)/(1-(((MIN(($T8),99))/100))+5.0))))*100),0)</f>
        <v/>
      </c>
    </row>
    <row r="25">
      <c r="A2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(37)/100))*0.96)),(((((MIN((A24),99))/100))+5.0)/(1-(((MIN((A24),99))/100))+5.0))))*100))/100))*0.96)),(((((MIN((A$23),99))/100))+5.0)/(1-(((MIN((A$23),99))/100))+5.0))))*100))/100))*0.96)),(((((MIN((A22),99))/100))+5.0)/(1-(((MIN((A22),99))/100))+5.0))))*100))/100))*0.96)),(((((MIN(($A21),99))/100))+5.0)/(1-(((MIN(($A21),99))/100))+5.0))))*100))/100))*0.96)),(((((MIN((A$20),99))/100))+5.0)/(1-(((MIN((A$20),99))/100))+5.0))))*100))/100))*0.96)),(((((MIN((A$19),99))/100))+5.0)/(1-(((MIN((A$19),99))/100))+5.0))))*100))/100))*0.96)),(((((MIN((A$18),99))/100))+5.0)/(1-(((MIN((A$18),99))/100))+5.0))))*100))/100))*0.96)),(((((MIN(($A17),99))/100))+5.0)/(1-(((MIN(($A17),99))/100))+5.0))))*100))/100))*0.96)),(((((MIN((A$16),99))/100))+5.0)/(1-(((MIN((A$16),99))/100))+5.0))))*100))/100))*0.96)),(((((MIN((A15),99))/100))+5.0)/(1-(((MIN((A15),99))/100))+5.0))))*100))/100))*0.96)),(((((MIN(($A14),99))/100))+5.0)/(1-(((MIN(($A14),99))/100))+5.0))))*100))/100))*0.96)),(((((MIN(($A$13),99))/100))+5.0)/(1-(((MIN(($A$13),99))/100))+5.0))))*100))/100))*0.96)),(((((MIN((A12),99))/100))+5.0)/(1-(((MIN((A12),99))/100))+5.0))))*100))/100))*0.96)),(((((MIN((A$11),99))/100))+5.0)/(1-(((MIN((A$11),99))/100))+5.0))))*100))/100))*0.96)),(((((MIN((A$10),99))/100))+5.0)/(1-(((MIN((A$10),99))/100))+5.0))))*100))/100))*0.96)),(((((MIN(($A9),99))/100))+5.0)/(1-(((MIN(($A9),99))/100))+5.0))))*100),0)</f>
        <v/>
      </c>
      <c r="B2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(35)/100))*0.96)),(((((MIN(($A25),99))/100))+5.0)/(1-(((MIN(($A25),99))/100))+5.0))))*100))/100))*0.96)),(((((MIN((B24),99))/100))+5.0)/(1-(((MIN((B24),99))/100))+5.0))))*100))/100))*0.96)),(((((MIN((B23),99))/100))+5.0)/(1-(((MIN((B23),99))/100))+5.0))))*100))/100))*0.96)),(((((MIN(($B$22),99))/100))+5.0)/(1-(((MIN(($B$22),99))/100))+5.0))))*100))/100))*0.96)),(((((MIN((B21),99))/100))+5.0)/(1-(((MIN((B21),99))/100))+5.0))))*100))/100))*0.96)),(((((MIN((B$20),99))/100))+5.0)/(1-(((MIN((B$20),99))/100))+5.0))))*100))/100))*0.96)),(((((MIN(($B$19),99))/100))+5.0)/(1-(((MIN(($B$19),99))/100))+5.0))))*100))/100))*0.96)),(((((MIN(($B$18),99))/100))+5.0)/(1-(((MIN(($B$18),99))/100))+5.0))))*100))/100))*0.96)),(((((MIN((B17),99))/100))+5.0)/(1-(((MIN((B17),99))/100))+5.0))))*100))/100))*0.96)),(((((MIN((B$16),99))/100))+5.0)/(1-(((MIN((B$16),99))/100))+5.0))))*100))/100))*0.96)),(((((MIN((B15),99))/100))+5.0)/(1-(((MIN((B15),99))/100))+5.0))))*100))/100))*0.96)),(((((MIN(($B14),99))/100))+5.0)/(1-(((MIN(($B14),99))/100))+5.0))))*100))/100))*0.96)),(((((MIN((B$13),99))/100))+5.0)/(1-(((MIN((B$13),99))/100))+5.0))))*100))/100))*0.96)),(((((MIN((B$12),99))/100))+5.0)/(1-(((MIN((B$12),99))/100))+5.0))))*100))/100))*0.96)),(((((MIN(($B11),99))/100))+5.0)/(1-(((MIN(($B11),99))/100))+5.0))))*100))/100))*0.96)),(((((MIN((B$10),99))/100))+5.0)/(1-(((MIN((B$10),99))/100))+5.0))))*100))/100))*0.96)),(((((MIN(($B9),99))/100))+5.0)/(1-(((MIN(($B9),99))/100))+5.0))))*100),0)</f>
        <v/>
      </c>
      <c r="C2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(51)/100))*0.96)),(((((MIN((B25),99))/100))+5.0)/(1-(((MIN((B25),99))/100))+5.0))))*100))/100))*0.96)),(((((MIN(($A$25),99))/100))+5.0)/(1-(((MIN(($A$25),99))/100))+5.0))))*100))/100))*0.96)),(((((MIN((C$24),99))/100))+5.0)/(1-(((MIN((C$24),99))/100))+5.0))))*100))/100))*0.96)),(((((MIN((C$23),99))/100))+5.0)/(1-(((MIN((C$23),99))/100))+5.0))))*100))/100))*0.96)),(((((MIN(($C22),99))/100))+5.0)/(1-(((MIN(($C22),99))/100))+5.0))))*100))/100))*0.96)),(((((MIN(($C$21),99))/100))+5.0)/(1-(((MIN(($C$21),99))/100))+5.0))))*100))/100))*0.96)),(((((MIN(($C$20),99))/100))+5.0)/(1-(((MIN(($C$20),99))/100))+5.0))))*100))/100))*0.96)),(((((MIN((C19),99))/100))+5.0)/(1-(((MIN((C19),99))/100))+5.0))))*100))/100))*0.96)),(((((MIN((C18),99))/100))+5.0)/(1-(((MIN((C18),99))/100))+5.0))))*100))/100))*0.96)),(((((MIN(($C17),99))/100))+5.0)/(1-(((MIN(($C17),99))/100))+5.0))))*100))/100))*0.96)),(((((MIN((C16),99))/100))+5.0)/(1-(((MIN((C16),99))/100))+5.0))))*100))/100))*0.96)),(((((MIN(($C15),99))/100))+5.0)/(1-(((MIN(($C15),99))/100))+5.0))))*100))/100))*0.96)),(((((MIN(($C14),99))/100))+5.0)/(1-(((MIN(($C14),99))/100))+5.0))))*100))/100))*0.96)),(((((MIN((C13),99))/100))+5.0)/(1-(((MIN((C13),99))/100))+5.0))))*100))/100))*0.96)),(((((MIN((C$12),99))/100))+5.0)/(1-(((MIN((C$12),99))/100))+5.0))))*100))/100))*0.96)),(((((MIN(($C$11),99))/100))+5.0)/(1-(((MIN(($C$11),99))/100))+5.0))))*100))/100))*0.96)),(((((MIN(($C$10),99))/100))+5.0)/(1-(((MIN(($C$10),99))/100))+5.0))))*100))/100))*0.96)),(((((MIN((C9),99))/100))+5.0)/(1-(((MIN((C9),99))/100))+5.0))))*100),0)</f>
        <v/>
      </c>
      <c r="D2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(76)/100))*0.96)),(((((MIN((C$25),99))/100))+5.0)/(1-(((MIN((C$25),99))/100))+5.0))))*100))/100))*0.96)),(((((MIN((B25),99))/100))+5.0)/(1-(((MIN((B25),99))/100))+5.0))))*100))/100))*0.96)),(((((MIN(($A$25),99))/100))+5.0)/(1-(((MIN(($A$25),99))/100))+5.0))))*100))/100))*0.96)),(((((MIN((D24),99))/100))+5.0)/(1-(((MIN((D24),99))/100))+5.0))))*100))/100))*0.96)),(((((MIN((D$23),99))/100))+5.0)/(1-(((MIN((D$23),99))/100))+5.0))))*100))/100))*0.96)),(((((MIN((D22),99))/100))+5.0)/(1-(((MIN((D22),99))/100))+5.0))))*100))/100))*0.96)),(((((MIN((D21),99))/100))+5.0)/(1-(((MIN((D21),99))/100))+5.0))))*100))/100))*0.96)),(((((MIN(($D$20),99))/100))+5.0)/(1-(((MIN(($D$20),99))/100))+5.0))))*100))/100))*0.96)),(((((MIN(($D19),99))/100))+5.0)/(1-(((MIN(($D19),99))/100))+5.0))))*100))/100))*0.96)),(((((MIN(($D$18),99))/100))+5.0)/(1-(((MIN(($D$18),99))/100))+5.0))))*100))/100))*0.96)),(((((MIN((D$17),99))/100))+5.0)/(1-(((MIN((D$17),99))/100))+5.0))))*100))/100))*0.96)),(((((MIN(($D16),99))/100))+5.0)/(1-(((MIN(($D16),99))/100))+5.0))))*100))/100))*0.96)),(((((MIN(($D$15),99))/100))+5.0)/(1-(((MIN(($D$15),99))/100))+5.0))))*100))/100))*0.96)),(((((MIN((D14),99))/100))+5.0)/(1-(((MIN((D14),99))/100))+5.0))))*100))/100))*0.96)),(((((MIN((D$13),99))/100))+5.0)/(1-(((MIN((D$13),99))/100))+5.0))))*100))/100))*0.96)),(((((MIN((D$12),99))/100))+5.0)/(1-(((MIN((D$12),99))/100))+5.0))))*100))/100))*0.96)),(((((MIN(($D$11),99))/100))+5.0)/(1-(((MIN(($D$11),99))/100))+5.0))))*100))/100))*0.96)),(((((MIN(($D10),99))/100))+5.0)/(1-(((MIN(($D10),99))/100))+5.0))))*100))/100))*0.96)),(((((MIN((D$9),99))/100))+5.0)/(1-(((MIN((D$9),99))/100))+5.0))))*100),0)</f>
        <v/>
      </c>
      <c r="E2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(18)/100))*0.96)),(((((MIN(($D$25),99))/100))+5.0)/(1-(((MIN(($D$25),99))/100))+5.0))))*100))/100))*0.96)),(((((MIN(($C25),99))/100))+5.0)/(1-(((MIN(($C25),99))/100))+5.0))))*100))/100))*0.96)),(((((MIN((B25),99))/100))+5.0)/(1-(((MIN((B25),99))/100))+5.0))))*100))/100))*0.96)),(((((MIN((A$25),99))/100))+5.0)/(1-(((MIN((A$25),99))/100))+5.0))))*100))/100))*0.96)),(((((MIN((E24),99))/100))+5.0)/(1-(((MIN((E24),99))/100))+5.0))))*100))/100))*0.96)),(((((MIN((E$23),99))/100))+5.0)/(1-(((MIN((E$23),99))/100))+5.0))))*100))/100))*0.96)),(((((MIN((E22),99))/100))+5.0)/(1-(((MIN((E22),99))/100))+5.0))))*100))/100))*0.96)),(((((MIN((E21),99))/100))+5.0)/(1-(((MIN((E21),99))/100))+5.0))))*100))/100))*0.96)),(((((MIN((E$20),99))/100))+5.0)/(1-(((MIN((E$20),99))/100))+5.0))))*100))/100))*0.96)),(((((MIN((E$19),99))/100))+5.0)/(1-(((MIN((E$19),99))/100))+5.0))))*100))/100))*0.96)),(((((MIN(($E18),99))/100))+5.0)/(1-(((MIN(($E18),99))/100))+5.0))))*100))/100))*0.96)),(((((MIN((E$17),99))/100))+5.0)/(1-(((MIN((E$17),99))/100))+5.0))))*100))/100))*0.96)),(((((MIN((E16),99))/100))+5.0)/(1-(((MIN((E16),99))/100))+5.0))))*100))/100))*0.96)),(((((MIN((E$15),99))/100))+5.0)/(1-(((MIN((E$15),99))/100))+5.0))))*100))/100))*0.96)),(((((MIN((E14),99))/100))+5.0)/(1-(((MIN((E14),99))/100))+5.0))))*100))/100))*0.96)),(((((MIN((E$13),99))/100))+5.0)/(1-(((MIN((E$13),99))/100))+5.0))))*100))/100))*0.96)),(((((MIN(($E12),99))/100))+5.0)/(1-(((MIN(($E12),99))/100))+5.0))))*100))/100))*0.96)),(((((MIN(($E$11),99))/100))+5.0)/(1-(((MIN(($E$11),99))/100))+5.0))))*100))/100))*0.96)),(((((MIN((E$10),99))/100))+5.0)/(1-(((MIN((E$10),99))/100))+5.0))))*100))/100))*0.96)),(((((MIN(($E9),99))/100))+5.0)/(1-(((MIN(($E9),99))/100))+5.0))))*100),0)</f>
        <v/>
      </c>
      <c r="F2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(6)/100))*0.96)),(((((MIN(($E$25),99))/100))+5.0)/(1-(((MIN(($E$25),99))/100))+5.0))))*100))/100))*0.96)),(((((MIN(($D$25),99))/100))+5.0)/(1-(((MIN(($D$25),99))/100))+5.0))))*100))/100))*0.96)),(((((MIN((C25),99))/100))+5.0)/(1-(((MIN((C25),99))/100))+5.0))))*100))/100))*0.96)),(((((MIN((B25),99))/100))+5.0)/(1-(((MIN((B25),99))/100))+5.0))))*100))/100))*0.96)),(((((MIN(($A$25),99))/100))+5.0)/(1-(((MIN(($A$25),99))/100))+5.0))))*100))/100))*0.96)),(((((MIN((F$24),99))/100))+5.0)/(1-(((MIN((F$24),99))/100))+5.0))))*100))/100))*0.96)),(((((MIN(($F$23),99))/100))+5.0)/(1-(((MIN(($F$23),99))/100))+5.0))))*100))/100))*0.96)),(((((MIN(($F$22),99))/100))+5.0)/(1-(((MIN(($F$22),99))/100))+5.0))))*100))/100))*0.96)),(((((MIN(($F21),99))/100))+5.0)/(1-(((MIN(($F21),99))/100))+5.0))))*100))/100))*0.96)),(((((MIN((F20),99))/100))+5.0)/(1-(((MIN((F20),99))/100))+5.0))))*100))/100))*0.96)),(((((MIN(($F$19),99))/100))+5.0)/(1-(((MIN(($F$19),99))/100))+5.0))))*100))/100))*0.96)),(((((MIN((F18),99))/100))+5.0)/(1-(((MIN((F18),99))/100))+5.0))))*100))/100))*0.96)),(((((MIN(($F$17),99))/100))+5.0)/(1-(((MIN(($F$17),99))/100))+5.0))))*100))/100))*0.96)),(((((MIN(($F16),99))/100))+5.0)/(1-(((MIN(($F16),99))/100))+5.0))))*100))/100))*0.96)),(((((MIN((F$15),99))/100))+5.0)/(1-(((MIN((F$15),99))/100))+5.0))))*100))/100))*0.96)),(((((MIN((F$14),99))/100))+5.0)/(1-(((MIN((F$14),99))/100))+5.0))))*100))/100))*0.96)),(((((MIN((F$13),99))/100))+5.0)/(1-(((MIN((F$13),99))/100))+5.0))))*100))/100))*0.96)),(((((MIN(($F12),99))/100))+5.0)/(1-(((MIN(($F12),99))/100))+5.0))))*100))/100))*0.96)),(((((MIN((F11),99))/100))+5.0)/(1-(((MIN((F11),99))/100))+5.0))))*100))/100))*0.96)),(((((MIN((F$10),99))/100))+5.0)/(1-(((MIN((F$10),99))/100))+5.0))))*100))/100))*0.96)),(((((MIN(($F9),99))/100))+5.0)/(1-(((MIN(($F9),99))/100))+5.0))))*100),0)</f>
        <v/>
      </c>
      <c r="G2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(33)/100))*0.96)),(((((MIN((F$25),99))/100))+5.0)/(1-(((MIN((F$25),99))/100))+5.0))))*100))/100))*0.96)),(((((MIN((E$25),99))/100))+5.0)/(1-(((MIN((E$25),99))/100))+5.0))))*100))/100))*0.96)),(((((MIN((D25),99))/100))+5.0)/(1-(((MIN((D25),99))/100))+5.0))))*100))/100))*0.96)),(((((MIN(($C$25),99))/100))+5.0)/(1-(((MIN(($C$25),99))/100))+5.0))))*100))/100))*0.96)),(((((MIN(($B$25),99))/100))+5.0)/(1-(((MIN(($B$25),99))/100))+5.0))))*100))/100))*0.96)),(((((MIN(($A25),99))/100))+5.0)/(1-(((MIN(($A25),99))/100))+5.0))))*100))/100))*0.96)),(((((MIN((G24),99))/100))+5.0)/(1-(((MIN((G24),99))/100))+5.0))))*100))/100))*0.96)),(((((MIN(($G$23),99))/100))+5.0)/(1-(((MIN(($G$23),99))/100))+5.0))))*100))/100))*0.96)),(((((MIN(($G$22),99))/100))+5.0)/(1-(((MIN(($G$22),99))/100))+5.0))))*100))/100))*0.96)),(((((MIN((G21),99))/100))+5.0)/(1-(((MIN((G21),99))/100))+5.0))))*100))/100))*0.96)),(((((MIN(($G20),99))/100))+5.0)/(1-(((MIN(($G20),99))/100))+5.0))))*100))/100))*0.96)),(((((MIN(($G$19),99))/100))+5.0)/(1-(((MIN(($G$19),99))/100))+5.0))))*100))/100))*0.96)),(((((MIN((G18),99))/100))+5.0)/(1-(((MIN((G18),99))/100))+5.0))))*100))/100))*0.96)),(((((MIN((G17),99))/100))+5.0)/(1-(((MIN((G17),99))/100))+5.0))))*100))/100))*0.96)),(((((MIN(($G16),99))/100))+5.0)/(1-(((MIN(($G16),99))/100))+5.0))))*100))/100))*0.96)),(((((MIN((G$15),99))/100))+5.0)/(1-(((MIN((G$15),99))/100))+5.0))))*100))/100))*0.96)),(((((MIN((G$14),99))/100))+5.0)/(1-(((MIN((G$14),99))/100))+5.0))))*100))/100))*0.96)),(((((MIN(($G$13),99))/100))+5.0)/(1-(((MIN(($G$13),99))/100))+5.0))))*100))/100))*0.96)),(((((MIN(($G$12),99))/100))+5.0)/(1-(((MIN(($G$12),99))/100))+5.0))))*100))/100))*0.96)),(((((MIN(($G$11),99))/100))+5.0)/(1-(((MIN(($G$11),99))/100))+5.0))))*100))/100))*0.96)),(((((MIN((G$10),99))/100))+5.0)/(1-(((MIN((G$10),99))/100))+5.0))))*100))/100))*0.96)),(((((MIN((G9),99))/100))+5.0)/(1-(((MIN((G9),99))/100))+5.0))))*100),0)</f>
        <v/>
      </c>
      <c r="H2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(6)/100))*0.96)),(((((MIN(($G25),99))/100))+5.0)/(1-(((MIN(($G25),99))/100))+5.0))))*100))/100))*0.96)),(((((MIN((F$25),99))/100))+5.0)/(1-(((MIN((F$25),99))/100))+5.0))))*100))/100))*0.96)),(((((MIN((E$25),99))/100))+5.0)/(1-(((MIN((E$25),99))/100))+5.0))))*100))/100))*0.96)),(((((MIN(($D25),99))/100))+5.0)/(1-(((MIN(($D25),99))/100))+5.0))))*100))/100))*0.96)),(((((MIN((C25),99))/100))+5.0)/(1-(((MIN((C25),99))/100))+5.0))))*100))/100))*0.96)),(((((MIN(($B$25),99))/100))+5.0)/(1-(((MIN(($B$25),99))/100))+5.0))))*100))/100))*0.96)),(((((MIN((A25),99))/100))+5.0)/(1-(((MIN((A25),99))/100))+5.0))))*100))/100))*0.96)),(((((MIN((H24),99))/100))+5.0)/(1-(((MIN((H24),99))/100))+5.0))))*100))/100))*0.96)),(((((MIN((H23),99))/100))+5.0)/(1-(((MIN((H23),99))/100))+5.0))))*100))/100))*0.96)),(((((MIN((H22),99))/100))+5.0)/(1-(((MIN((H22),99))/100))+5.0))))*100))/100))*0.96)),(((((MIN(($H$21),99))/100))+5.0)/(1-(((MIN(($H$21),99))/100))+5.0))))*100))/100))*0.96)),(((((MIN((H$20),99))/100))+5.0)/(1-(((MIN((H$20),99))/100))+5.0))))*100))/100))*0.96)),(((((MIN((H$19),99))/100))+5.0)/(1-(((MIN((H$19),99))/100))+5.0))))*100))/100))*0.96)),(((((MIN(($H$18),99))/100))+5.0)/(1-(((MIN(($H$18),99))/100))+5.0))))*100))/100))*0.96)),(((((MIN(($H17),99))/100))+5.0)/(1-(((MIN(($H17),99))/100))+5.0))))*100))/100))*0.96)),(((((MIN(($H$16),99))/100))+5.0)/(1-(((MIN(($H$16),99))/100))+5.0))))*100))/100))*0.96)),(((((MIN((H$15),99))/100))+5.0)/(1-(((MIN((H$15),99))/100))+5.0))))*100))/100))*0.96)),(((((MIN((H$14),99))/100))+5.0)/(1-(((MIN((H$14),99))/100))+5.0))))*100))/100))*0.96)),(((((MIN(($H$13),99))/100))+5.0)/(1-(((MIN(($H$13),99))/100))+5.0))))*100))/100))*0.96)),(((((MIN((H$12),99))/100))+5.0)/(1-(((MIN((H$12),99))/100))+5.0))))*100))/100))*0.96)),(((((MIN((H11),99))/100))+5.0)/(1-(((MIN((H11),99))/100))+5.0))))*100))/100))*0.96)),(((((MIN(($H10),99))/100))+5.0)/(1-(((MIN(($H10),99))/100))+5.0))))*100))/100))*0.96)),(((((MIN((H$9),99))/100))+5.0)/(1-(((MIN((H$9),99))/100))+5.0))))*100),0)</f>
        <v/>
      </c>
      <c r="I2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(52)/100))*0.96)),(((((MIN((H25),99))/100))+5.0)/(1-(((MIN((H25),99))/100))+5.0))))*100))/100))*0.96)),(((((MIN((G$25),99))/100))+5.0)/(1-(((MIN((G$25),99))/100))+5.0))))*100))/100))*0.96)),(((((MIN(($F25),99))/100))+5.0)/(1-(((MIN(($F25),99))/100))+5.0))))*100))/100))*0.96)),(((((MIN(($E$25),99))/100))+5.0)/(1-(((MIN(($E$25),99))/100))+5.0))))*100))/100))*0.96)),(((((MIN((D$25),99))/100))+5.0)/(1-(((MIN((D$25),99))/100))+5.0))))*100))/100))*0.96)),(((((MIN(($C$25),99))/100))+5.0)/(1-(((MIN(($C$25),99))/100))+5.0))))*100))/100))*0.96)),(((((MIN((B25),99))/100))+5.0)/(1-(((MIN((B25),99))/100))+5.0))))*100))/100))*0.96)),(((((MIN((A$25),99))/100))+5.0)/(1-(((MIN((A$25),99))/100))+5.0))))*100))/100))*0.96)),(((((MIN(($I$24),99))/100))+5.0)/(1-(((MIN(($I$24),99))/100))+5.0))))*100))/100))*0.96)),(((((MIN((I$23),99))/100))+5.0)/(1-(((MIN((I$23),99))/100))+5.0))))*100))/100))*0.96)),(((((MIN((I$22),99))/100))+5.0)/(1-(((MIN((I$22),99))/100))+5.0))))*100))/100))*0.96)),(((((MIN((I21),99))/100))+5.0)/(1-(((MIN((I21),99))/100))+5.0))))*100))/100))*0.96)),(((((MIN((I20),99))/100))+5.0)/(1-(((MIN((I20),99))/100))+5.0))))*100))/100))*0.96)),(((((MIN(($I19),99))/100))+5.0)/(1-(((MIN(($I19),99))/100))+5.0))))*100))/100))*0.96)),(((((MIN((I$18),99))/100))+5.0)/(1-(((MIN((I$18),99))/100))+5.0))))*100))/100))*0.96)),(((((MIN((I17),99))/100))+5.0)/(1-(((MIN((I17),99))/100))+5.0))))*100))/100))*0.96)),(((((MIN((I$16),99))/100))+5.0)/(1-(((MIN((I$16),99))/100))+5.0))))*100))/100))*0.96)),(((((MIN(($I$15),99))/100))+5.0)/(1-(((MIN(($I$15),99))/100))+5.0))))*100))/100))*0.96)),(((((MIN(($I$14),99))/100))+5.0)/(1-(((MIN(($I$14),99))/100))+5.0))))*100))/100))*0.96)),(((((MIN((I$13),99))/100))+5.0)/(1-(((MIN((I$13),99))/100))+5.0))))*100))/100))*0.96)),(((((MIN(($I$12),99))/100))+5.0)/(1-(((MIN(($I$12),99))/100))+5.0))))*100))/100))*0.96)),(((((MIN((I11),99))/100))+5.0)/(1-(((MIN((I11),99))/100))+5.0))))*100))/100))*0.96)),(((((MIN((I10),99))/100))+5.0)/(1-(((MIN((I10),99))/100))+5.0))))*100))/100))*0.96)),(((((MIN((I$9),99))/100))+5.0)/(1-(((MIN((I$9),99))/100))+5.0))))*100),0)</f>
        <v/>
      </c>
      <c r="J2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(20)/100))*0.96)),(((((MIN(($I$25),99))/100))+5.0)/(1-(((MIN(($I$25),99))/100))+5.0))))*100))/100))*0.96)),(((((MIN((H$25),99))/100))+5.0)/(1-(((MIN((H$25),99))/100))+5.0))))*100))/100))*0.96)),(((((MIN((G25),99))/100))+5.0)/(1-(((MIN((G25),99))/100))+5.0))))*100))/100))*0.96)),(((((MIN(($F25),99))/100))+5.0)/(1-(((MIN(($F25),99))/100))+5.0))))*100))/100))*0.96)),(((((MIN((E25),99))/100))+5.0)/(1-(((MIN((E25),99))/100))+5.0))))*100))/100))*0.96)),(((((MIN(($D$25),99))/100))+5.0)/(1-(((MIN(($D$25),99))/100))+5.0))))*100))/100))*0.96)),(((((MIN(($C$25),99))/100))+5.0)/(1-(((MIN(($C$25),99))/100))+5.0))))*100))/100))*0.96)),(((((MIN((B25),99))/100))+5.0)/(1-(((MIN((B25),99))/100))+5.0))))*100))/100))*0.96)),(((((MIN((J$24),99))/100))+5.0)/(1-(((MIN((J$24),99))/100))+5.0))))*100))/100))*0.96)),(((((MIN((J$23),99))/100))+5.0)/(1-(((MIN((J$23),99))/100))+5.0))))*100))/100))*0.96)),(((((MIN(($J22),99))/100))+5.0)/(1-(((MIN(($J22),99))/100))+5.0))))*100))/100))*0.96)),(((((MIN(($J21),99))/100))+5.0)/(1-(((MIN(($J21),99))/100))+5.0))))*100))/100))*0.96)),(((((MIN((J20),99))/100))+5.0)/(1-(((MIN((J20),99))/100))+5.0))))*100))/100))*0.96)),(((((MIN(($J19),99))/100))+5.0)/(1-(((MIN(($J19),99))/100))+5.0))))*100))/100))*0.96)),(((((MIN((J$18),99))/100))+5.0)/(1-(((MIN((J$18),99))/100))+5.0))))*100))/100))*0.96)),(((((MIN((J$17),99))/100))+5.0)/(1-(((MIN((J$17),99))/100))+5.0))))*100))/100))*0.96)),(((((MIN(($J16),99))/100))+5.0)/(1-(((MIN(($J16),99))/100))+5.0))))*100))/100))*0.96)),(((((MIN((J$15),99))/100))+5.0)/(1-(((MIN((J$15),99))/100))+5.0))))*100))/100))*0.96)),(((((MIN((J14),99))/100))+5.0)/(1-(((MIN((J14),99))/100))+5.0))))*100))/100))*0.96)),(((((MIN((J$13),99))/100))+5.0)/(1-(((MIN((J$13),99))/100))+5.0))))*100))/100))*0.96)),(((((MIN((J$12),99))/100))+5.0)/(1-(((MIN((J$12),99))/100))+5.0))))*100))/100))*0.96)),(((((MIN(($J11),99))/100))+5.0)/(1-(((MIN(($J11),99))/100))+5.0))))*100))/100))*0.96)),(((((MIN(($J$10),99))/100))+5.0)/(1-(((MIN(($J$10),99))/100))+5.0))))*100))/100))*0.96)),(((((MIN(($J$9),99))/100))+5.0)/(1-(((MIN(($J$9),99))/100))+5.0))))*100),0)</f>
        <v/>
      </c>
      <c r="K2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(58)/100))*0.96)),(((((MIN((J$25),99))/100))+5.0)/(1-(((MIN((J$25),99))/100))+5.0))))*100))/100))*0.96)),(((((MIN((I$25),99))/100))+5.0)/(1-(((MIN((I$25),99))/100))+5.0))))*100))/100))*0.96)),(((((MIN((H25),99))/100))+5.0)/(1-(((MIN((H25),99))/100))+5.0))))*100))/100))*0.96)),(((((MIN(($G$25),99))/100))+5.0)/(1-(((MIN(($G$25),99))/100))+5.0))))*100))/100))*0.96)),(((((MIN(($F25),99))/100))+5.0)/(1-(((MIN(($F25),99))/100))+5.0))))*100))/100))*0.96)),(((((MIN(($E25),99))/100))+5.0)/(1-(((MIN(($E25),99))/100))+5.0))))*100))/100))*0.96)),(((((MIN(($D25),99))/100))+5.0)/(1-(((MIN(($D25),99))/100))+5.0))))*100))/100))*0.96)),(((((MIN(($C25),99))/100))+5.0)/(1-(((MIN(($C25),99))/100))+5.0))))*100))/100))*0.96)),(((((MIN(($K$24),99))/100))+5.0)/(1-(((MIN(($K$24),99))/100))+5.0))))*100))/100))*0.96)),(((((MIN((K$23),99))/100))+5.0)/(1-(((MIN((K$23),99))/100))+5.0))))*100))/100))*0.96)),(((((MIN((K$22),99))/100))+5.0)/(1-(((MIN((K$22),99))/100))+5.0))))*100))/100))*0.96)),(((((MIN((K21),99))/100))+5.0)/(1-(((MIN((K21),99))/100))+5.0))))*100))/100))*0.96)),(((((MIN(($K$20),99))/100))+5.0)/(1-(((MIN(($K$20),99))/100))+5.0))))*100))/100))*0.96)),(((((MIN((K19),99))/100))+5.0)/(1-(((MIN((K19),99))/100))+5.0))))*100))/100))*0.96)),(((((MIN(($K$18),99))/100))+5.0)/(1-(((MIN(($K$18),99))/100))+5.0))))*100))/100))*0.96)),(((((MIN(($K17),99))/100))+5.0)/(1-(((MIN(($K17),99))/100))+5.0))))*100))/100))*0.96)),(((((MIN(($K16),99))/100))+5.0)/(1-(((MIN(($K16),99))/100))+5.0))))*100))/100))*0.96)),(((((MIN((K$15),99))/100))+5.0)/(1-(((MIN((K$15),99))/100))+5.0))))*100))/100))*0.96)),(((((MIN(($K$14),99))/100))+5.0)/(1-(((MIN(($K$14),99))/100))+5.0))))*100))/100))*0.96)),(((((MIN(($K$13),99))/100))+5.0)/(1-(((MIN(($K$13),99))/100))+5.0))))*100))/100))*0.96)),(((((MIN(($K12),99))/100))+5.0)/(1-(((MIN(($K12),99))/100))+5.0))))*100))/100))*0.96)),(((((MIN((K11),99))/100))+5.0)/(1-(((MIN((K11),99))/100))+5.0))))*100))/100))*0.96)),(((((MIN(($K$10),99))/100))+5.0)/(1-(((MIN(($K$10),99))/100))+5.0))))*100))/100))*0.96)),(((((MIN(($K9),99))/100))+5.0)/(1-(((MIN(($K9),99))/100))+5.0))))*100),0)</f>
        <v/>
      </c>
      <c r="L2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(92)/100))*0.96)),(((((MIN(($K25),99))/100))+5.0)/(1-(((MIN(($K25),99))/100))+5.0))))*100))/100))*0.96)),(((((MIN(($J25),99))/100))+5.0)/(1-(((MIN(($J25),99))/100))+5.0))))*100))/100))*0.96)),(((((MIN((I25),99))/100))+5.0)/(1-(((MIN((I25),99))/100))+5.0))))*100))/100))*0.96)),(((((MIN((H25),99))/100))+5.0)/(1-(((MIN((H25),99))/100))+5.0))))*100))/100))*0.96)),(((((MIN((G$25),99))/100))+5.0)/(1-(((MIN((G$25),99))/100))+5.0))))*100))/100))*0.96)),(((((MIN(($F25),99))/100))+5.0)/(1-(((MIN(($F25),99))/100))+5.0))))*100))/100))*0.96)),(((((MIN(($E25),99))/100))+5.0)/(1-(((MIN(($E25),99))/100))+5.0))))*100))/100))*0.96)),(((((MIN((D$25),99))/100))+5.0)/(1-(((MIN((D$25),99))/100))+5.0))))*100))/100))*0.96)),(((((MIN((L24),99))/100))+5.0)/(1-(((MIN((L24),99))/100))+5.0))))*100))/100))*0.96)),(((((MIN((L$23),99))/100))+5.0)/(1-(((MIN((L$23),99))/100))+5.0))))*100))/100))*0.96)),(((((MIN((L22),99))/100))+5.0)/(1-(((MIN((L22),99))/100))+5.0))))*100))/100))*0.96)),(((((MIN((L21),99))/100))+5.0)/(1-(((MIN((L21),99))/100))+5.0))))*100))/100))*0.96)),(((((MIN((L20),99))/100))+5.0)/(1-(((MIN((L20),99))/100))+5.0))))*100))/100))*0.96)),(((((MIN(($L$19),99))/100))+5.0)/(1-(((MIN(($L$19),99))/100))+5.0))))*100))/100))*0.96)),(((((MIN(($L$18),99))/100))+5.0)/(1-(((MIN(($L$18),99))/100))+5.0))))*100))/100))*0.96)),(((((MIN((L17),99))/100))+5.0)/(1-(((MIN((L17),99))/100))+5.0))))*100))/100))*0.96)),(((((MIN((L16),99))/100))+5.0)/(1-(((MIN((L16),99))/100))+5.0))))*100))/100))*0.96)),(((((MIN((L$15),99))/100))+5.0)/(1-(((MIN((L$15),99))/100))+5.0))))*100))/100))*0.96)),(((((MIN(($L$14),99))/100))+5.0)/(1-(((MIN(($L$14),99))/100))+5.0))))*100))/100))*0.96)),(((((MIN((L$13),99))/100))+5.0)/(1-(((MIN((L$13),99))/100))+5.0))))*100))/100))*0.96)),(((((MIN(($L$12),99))/100))+5.0)/(1-(((MIN(($L$12),99))/100))+5.0))))*100))/100))*0.96)),(((((MIN(($L$11),99))/100))+5.0)/(1-(((MIN(($L$11),99))/100))+5.0))))*100))/100))*0.96)),(((((MIN((L$10),99))/100))+5.0)/(1-(((MIN((L$10),99))/100))+5.0))))*100))/100))*0.96)),(((((MIN((L$9),99))/100))+5.0)/(1-(((MIN((L$9),99))/100))+5.0))))*100),0)</f>
        <v/>
      </c>
      <c r="M2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(7)/100))*0.96)),(((((MIN((L25),99))/100))+5.0)/(1-(((MIN((L25),99))/100))+5.0))))*100))/100))*0.96)),(((((MIN(($K$25),99))/100))+5.0)/(1-(((MIN(($K$25),99))/100))+5.0))))*100))/100))*0.96)),(((((MIN((J25),99))/100))+5.0)/(1-(((MIN((J25),99))/100))+5.0))))*100))/100))*0.96)),(((((MIN(($I$25),99))/100))+5.0)/(1-(((MIN(($I$25),99))/100))+5.0))))*100))/100))*0.96)),(((((MIN((H$25),99))/100))+5.0)/(1-(((MIN((H$25),99))/100))+5.0))))*100))/100))*0.96)),(((((MIN((G25),99))/100))+5.0)/(1-(((MIN((G25),99))/100))+5.0))))*100))/100))*0.96)),(((((MIN(($F$25),99))/100))+5.0)/(1-(((MIN(($F$25),99))/100))+5.0))))*100))/100))*0.96)),(((((MIN(($E25),99))/100))+5.0)/(1-(((MIN(($E25),99))/100))+5.0))))*100))/100))*0.96)),(((((MIN((M24),99))/100))+5.0)/(1-(((MIN((M24),99))/100))+5.0))))*100))/100))*0.96)),(((((MIN(($M23),99))/100))+5.0)/(1-(((MIN(($M23),99))/100))+5.0))))*100))/100))*0.96)),(((((MIN(($M22),99))/100))+5.0)/(1-(((MIN(($M22),99))/100))+5.0))))*100))/100))*0.96)),(((((MIN(($M$21),99))/100))+5.0)/(1-(((MIN(($M$21),99))/100))+5.0))))*100))/100))*0.96)),(((((MIN(($M$20),99))/100))+5.0)/(1-(((MIN(($M$20),99))/100))+5.0))))*100))/100))*0.96)),(((((MIN(($M$19),99))/100))+5.0)/(1-(((MIN(($M$19),99))/100))+5.0))))*100))/100))*0.96)),(((((MIN(($M18),99))/100))+5.0)/(1-(((MIN(($M18),99))/100))+5.0))))*100))/100))*0.96)),(((((MIN((M$17),99))/100))+5.0)/(1-(((MIN((M$17),99))/100))+5.0))))*100))/100))*0.96)),(((((MIN(($M$16),99))/100))+5.0)/(1-(((MIN(($M$16),99))/100))+5.0))))*100))/100))*0.96)),(((((MIN((M$15),99))/100))+5.0)/(1-(((MIN((M$15),99))/100))+5.0))))*100))/100))*0.96)),(((((MIN(($M14),99))/100))+5.0)/(1-(((MIN(($M14),99))/100))+5.0))))*100))/100))*0.96)),(((((MIN((M$13),99))/100))+5.0)/(1-(((MIN((M$13),99))/100))+5.0))))*100))/100))*0.96)),(((((MIN(($M$12),99))/100))+5.0)/(1-(((MIN(($M$12),99))/100))+5.0))))*100))/100))*0.96)),(((((MIN(($M11),99))/100))+5.0)/(1-(((MIN(($M11),99))/100))+5.0))))*100))/100))*0.96)),(((((MIN((M10),99))/100))+5.0)/(1-(((MIN((M10),99))/100))+5.0))))*100))/100))*0.96)),(((((MIN(($M$9),99))/100))+5.0)/(1-(((MIN(($M$9),99))/100))+5.0))))*100),0)</f>
        <v/>
      </c>
      <c r="N2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(87)/100))*0.96)),(((((MIN(($M25),99))/100))+5.0)/(1-(((MIN(($M25),99))/100))+5.0))))*100))/100))*0.96)),(((((MIN(($L25),99))/100))+5.0)/(1-(((MIN(($L25),99))/100))+5.0))))*100))/100))*0.96)),(((((MIN((K25),99))/100))+5.0)/(1-(((MIN((K25),99))/100))+5.0))))*100))/100))*0.96)),(((((MIN(($J25),99))/100))+5.0)/(1-(((MIN(($J25),99))/100))+5.0))))*100))/100))*0.96)),(((((MIN(($I25),99))/100))+5.0)/(1-(((MIN(($I25),99))/100))+5.0))))*100))/100))*0.96)),(((((MIN((H$25),99))/100))+5.0)/(1-(((MIN((H$25),99))/100))+5.0))))*100))/100))*0.96)),(((((MIN((G$25),99))/100))+5.0)/(1-(((MIN((G$25),99))/100))+5.0))))*100))/100))*0.96)),(((((MIN((F$25),99))/100))+5.0)/(1-(((MIN((F$25),99))/100))+5.0))))*100))/100))*0.96)),(((((MIN(($N$24),99))/100))+5.0)/(1-(((MIN(($N$24),99))/100))+5.0))))*100))/100))*0.96)),(((((MIN(($N23),99))/100))+5.0)/(1-(((MIN(($N23),99))/100))+5.0))))*100))/100))*0.96)),(((((MIN(($N$22),99))/100))+5.0)/(1-(((MIN(($N$22),99))/100))+5.0))))*100))/100))*0.96)),(((((MIN((N$21),99))/100))+5.0)/(1-(((MIN((N$21),99))/100))+5.0))))*100))/100))*0.96)),(((((MIN((N$20),99))/100))+5.0)/(1-(((MIN((N$20),99))/100))+5.0))))*100))/100))*0.96)),(((((MIN(($N19),99))/100))+5.0)/(1-(((MIN(($N19),99))/100))+5.0))))*100))/100))*0.96)),(((((MIN(($N18),99))/100))+5.0)/(1-(((MIN(($N18),99))/100))+5.0))))*100))/100))*0.96)),(((((MIN(($N$17),99))/100))+5.0)/(1-(((MIN(($N$17),99))/100))+5.0))))*100))/100))*0.96)),(((((MIN((N16),99))/100))+5.0)/(1-(((MIN((N16),99))/100))+5.0))))*100))/100))*0.96)),(((((MIN(($N15),99))/100))+5.0)/(1-(((MIN(($N15),99))/100))+5.0))))*100))/100))*0.96)),(((((MIN((N14),99))/100))+5.0)/(1-(((MIN((N14),99))/100))+5.0))))*100))/100))*0.96)),(((((MIN((N13),99))/100))+5.0)/(1-(((MIN((N13),99))/100))+5.0))))*100))/100))*0.96)),(((((MIN(($N$12),99))/100))+5.0)/(1-(((MIN(($N$12),99))/100))+5.0))))*100))/100))*0.96)),(((((MIN(($N$11),99))/100))+5.0)/(1-(((MIN(($N$11),99))/100))+5.0))))*100))/100))*0.96)),(((((MIN(($N$10),99))/100))+5.0)/(1-(((MIN(($N$10),99))/100))+5.0))))*100))/100))*0.96)),(((((MIN((N$9),99))/100))+5.0)/(1-(((MIN((N$9),99))/100))+5.0))))*100),0)</f>
        <v/>
      </c>
      <c r="O2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(63)/100))*0.96)),(((((MIN((N25),99))/100))+5.0)/(1-(((MIN((N25),99))/100))+5.0))))*100))/100))*0.96)),(((((MIN(($M$25),99))/100))+5.0)/(1-(((MIN(($M$25),99))/100))+5.0))))*100))/100))*0.96)),(((((MIN((L$25),99))/100))+5.0)/(1-(((MIN((L$25),99))/100))+5.0))))*100))/100))*0.96)),(((((MIN(($K$25),99))/100))+5.0)/(1-(((MIN(($K$25),99))/100))+5.0))))*100))/100))*0.96)),(((((MIN(($J25),99))/100))+5.0)/(1-(((MIN(($J25),99))/100))+5.0))))*100))/100))*0.96)),(((((MIN((I25),99))/100))+5.0)/(1-(((MIN((I25),99))/100))+5.0))))*100))/100))*0.96)),(((((MIN((H$25),99))/100))+5.0)/(1-(((MIN((H$25),99))/100))+5.0))))*100))/100))*0.96)),(((((MIN((G25),99))/100))+5.0)/(1-(((MIN((G25),99))/100))+5.0))))*100))/100))*0.96)),(((((MIN(($O$24),99))/100))+5.0)/(1-(((MIN(($O$24),99))/100))+5.0))))*100))/100))*0.96)),(((((MIN(($O23),99))/100))+5.0)/(1-(((MIN(($O23),99))/100))+5.0))))*100))/100))*0.96)),(((((MIN(($O22),99))/100))+5.0)/(1-(((MIN(($O22),99))/100))+5.0))))*100))/100))*0.96)),(((((MIN(($O21),99))/100))+5.0)/(1-(((MIN(($O21),99))/100))+5.0))))*100))/100))*0.96)),(((((MIN(($O$20),99))/100))+5.0)/(1-(((MIN(($O$20),99))/100))+5.0))))*100))/100))*0.96)),(((((MIN((O$19),99))/100))+5.0)/(1-(((MIN((O$19),99))/100))+5.0))))*100))/100))*0.96)),(((((MIN((O$18),99))/100))+5.0)/(1-(((MIN((O$18),99))/100))+5.0))))*100))/100))*0.96)),(((((MIN((O17),99))/100))+5.0)/(1-(((MIN((O17),99))/100))+5.0))))*100))/100))*0.96)),(((((MIN(($O$16),99))/100))+5.0)/(1-(((MIN(($O$16),99))/100))+5.0))))*100))/100))*0.96)),(((((MIN(($O$15),99))/100))+5.0)/(1-(((MIN(($O$15),99))/100))+5.0))))*100))/100))*0.96)),(((((MIN((O$14),99))/100))+5.0)/(1-(((MIN((O$14),99))/100))+5.0))))*100))/100))*0.96)),(((((MIN((O$13),99))/100))+5.0)/(1-(((MIN((O$13),99))/100))+5.0))))*100))/100))*0.96)),(((((MIN((O12),99))/100))+5.0)/(1-(((MIN((O12),99))/100))+5.0))))*100))/100))*0.96)),(((((MIN(($O11),99))/100))+5.0)/(1-(((MIN(($O11),99))/100))+5.0))))*100))/100))*0.96)),(((((MIN(($O10),99))/100))+5.0)/(1-(((MIN(($O10),99))/100))+5.0))))*100))/100))*0.96)),(((((MIN((O$9),99))/100))+5.0)/(1-(((MIN((O$9),99))/100))+5.0))))*100),0)</f>
        <v/>
      </c>
      <c r="P2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(54)/100))*0.96)),(((((MIN((O$25),99))/100))+5.0)/(1-(((MIN((O$25),99))/100))+5.0))))*100))/100))*0.96)),(((((MIN(($N$25),99))/100))+5.0)/(1-(((MIN(($N$25),99))/100))+5.0))))*100))/100))*0.96)),(((((MIN((M25),99))/100))+5.0)/(1-(((MIN((M25),99))/100))+5.0))))*100))/100))*0.96)),(((((MIN((L$25),99))/100))+5.0)/(1-(((MIN((L$25),99))/100))+5.0))))*100))/100))*0.96)),(((((MIN((K25),99))/100))+5.0)/(1-(((MIN((K25),99))/100))+5.0))))*100))/100))*0.96)),(((((MIN((J$25),99))/100))+5.0)/(1-(((MIN((J$25),99))/100))+5.0))))*100))/100))*0.96)),(((((MIN((I$25),99))/100))+5.0)/(1-(((MIN((I$25),99))/100))+5.0))))*100))/100))*0.96)),(((((MIN(($H$25),99))/100))+5.0)/(1-(((MIN(($H$25),99))/100))+5.0))))*100))/100))*0.96)),(((((MIN(($P$24),99))/100))+5.0)/(1-(((MIN(($P$24),99))/100))+5.0))))*100))/100))*0.96)),(((((MIN((P$23),99))/100))+5.0)/(1-(((MIN((P$23),99))/100))+5.0))))*100))/100))*0.96)),(((((MIN((P22),99))/100))+5.0)/(1-(((MIN((P22),99))/100))+5.0))))*100))/100))*0.96)),(((((MIN(($P$21),99))/100))+5.0)/(1-(((MIN(($P$21),99))/100))+5.0))))*100))/100))*0.96)),(((((MIN((P20),99))/100))+5.0)/(1-(((MIN((P20),99))/100))+5.0))))*100))/100))*0.96)),(((((MIN((P$19),99))/100))+5.0)/(1-(((MIN((P$19),99))/100))+5.0))))*100))/100))*0.96)),(((((MIN((P$18),99))/100))+5.0)/(1-(((MIN((P$18),99))/100))+5.0))))*100))/100))*0.96)),(((((MIN((P17),99))/100))+5.0)/(1-(((MIN((P17),99))/100))+5.0))))*100))/100))*0.96)),(((((MIN(($P$16),99))/100))+5.0)/(1-(((MIN(($P$16),99))/100))+5.0))))*100))/100))*0.96)),(((((MIN((P15),99))/100))+5.0)/(1-(((MIN((P15),99))/100))+5.0))))*100))/100))*0.96)),(((((MIN(($P$14),99))/100))+5.0)/(1-(((MIN(($P$14),99))/100))+5.0))))*100))/100))*0.96)),(((((MIN((P13),99))/100))+5.0)/(1-(((MIN((P13),99))/100))+5.0))))*100))/100))*0.96)),(((((MIN((P12),99))/100))+5.0)/(1-(((MIN((P12),99))/100))+5.0))))*100))/100))*0.96)),(((((MIN((P$11),99))/100))+5.0)/(1-(((MIN((P$11),99))/100))+5.0))))*100))/100))*0.96)),(((((MIN((P10),99))/100))+5.0)/(1-(((MIN((P10),99))/100))+5.0))))*100))/100))*0.96)),(((((MIN(($P9),99))/100))+5.0)/(1-(((MIN(($P9),99))/100))+5.0))))*100),0)</f>
        <v/>
      </c>
      <c r="Q2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(25)/100))*0.96)),(((((MIN(($P25),99))/100))+5.0)/(1-(((MIN(($P25),99))/100))+5.0))))*100))/100))*0.96)),(((((MIN((O$25),99))/100))+5.0)/(1-(((MIN((O$25),99))/100))+5.0))))*100))/100))*0.96)),(((((MIN((N$25),99))/100))+5.0)/(1-(((MIN((N$25),99))/100))+5.0))))*100))/100))*0.96)),(((((MIN((M$25),99))/100))+5.0)/(1-(((MIN((M$25),99))/100))+5.0))))*100))/100))*0.96)),(((((MIN(($L25),99))/100))+5.0)/(1-(((MIN(($L25),99))/100))+5.0))))*100))/100))*0.96)),(((((MIN((K25),99))/100))+5.0)/(1-(((MIN((K25),99))/100))+5.0))))*100))/100))*0.96)),(((((MIN((J$25),99))/100))+5.0)/(1-(((MIN((J$25),99))/100))+5.0))))*100))/100))*0.96)),(((((MIN((I25),99))/100))+5.0)/(1-(((MIN((I25),99))/100))+5.0))))*100))/100))*0.96)),(((((MIN((Q$24),99))/100))+5.0)/(1-(((MIN((Q$24),99))/100))+5.0))))*100))/100))*0.96)),(((((MIN((Q$23),99))/100))+5.0)/(1-(((MIN((Q$23),99))/100))+5.0))))*100))/100))*0.96)),(((((MIN((Q$22),99))/100))+5.0)/(1-(((MIN((Q$22),99))/100))+5.0))))*100))/100))*0.96)),(((((MIN(($Q21),99))/100))+5.0)/(1-(((MIN(($Q21),99))/100))+5.0))))*100))/100))*0.96)),(((((MIN(($Q$20),99))/100))+5.0)/(1-(((MIN(($Q$20),99))/100))+5.0))))*100))/100))*0.96)),(((((MIN((Q$19),99))/100))+5.0)/(1-(((MIN((Q$19),99))/100))+5.0))))*100))/100))*0.96)),(((((MIN(($Q18),99))/100))+5.0)/(1-(((MIN(($Q18),99))/100))+5.0))))*100))/100))*0.96)),(((((MIN(($Q17),99))/100))+5.0)/(1-(((MIN(($Q17),99))/100))+5.0))))*100))/100))*0.96)),(((((MIN((Q16),99))/100))+5.0)/(1-(((MIN((Q16),99))/100))+5.0))))*100))/100))*0.96)),(((((MIN(($Q$15),99))/100))+5.0)/(1-(((MIN(($Q$15),99))/100))+5.0))))*100))/100))*0.96)),(((((MIN((Q14),99))/100))+5.0)/(1-(((MIN((Q14),99))/100))+5.0))))*100))/100))*0.96)),(((((MIN((Q13),99))/100))+5.0)/(1-(((MIN((Q13),99))/100))+5.0))))*100))/100))*0.96)),(((((MIN(($Q$12),99))/100))+5.0)/(1-(((MIN(($Q$12),99))/100))+5.0))))*100))/100))*0.96)),(((((MIN((Q$11),99))/100))+5.0)/(1-(((MIN((Q$11),99))/100))+5.0))))*100))/100))*0.96)),(((((MIN((Q$10),99))/100))+5.0)/(1-(((MIN((Q$10),99))/100))+5.0))))*100))/100))*0.96)),(((((MIN(($Q9),99))/100))+5.0)/(1-(((MIN(($Q9),99))/100))+5.0))))*100),0)</f>
        <v/>
      </c>
      <c r="R2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(60)/100))*0.96)),(((((MIN(($Q$25),99))/100))+5.0)/(1-(((MIN(($Q$25),99))/100))+5.0))))*100))/100))*0.96)),(((((MIN((P25),99))/100))+5.0)/(1-(((MIN((P25),99))/100))+5.0))))*100))/100))*0.96)),(((((MIN(($O25),99))/100))+5.0)/(1-(((MIN(($O25),99))/100))+5.0))))*100))/100))*0.96)),(((((MIN((N$25),99))/100))+5.0)/(1-(((MIN((N$25),99))/100))+5.0))))*100))/100))*0.96)),(((((MIN((M25),99))/100))+5.0)/(1-(((MIN((M25),99))/100))+5.0))))*100))/100))*0.96)),(((((MIN(($L25),99))/100))+5.0)/(1-(((MIN(($L25),99))/100))+5.0))))*100))/100))*0.96)),(((((MIN((K$25),99))/100))+5.0)/(1-(((MIN((K$25),99))/100))+5.0))))*100))/100))*0.96)),(((((MIN(($J$25),99))/100))+5.0)/(1-(((MIN(($J$25),99))/100))+5.0))))*100))/100))*0.96)),(((((MIN((R$24),99))/100))+5.0)/(1-(((MIN((R$24),99))/100))+5.0))))*100))/100))*0.96)),(((((MIN(($R23),99))/100))+5.0)/(1-(((MIN(($R23),99))/100))+5.0))))*100))/100))*0.96)),(((((MIN(($R$22),99))/100))+5.0)/(1-(((MIN(($R$22),99))/100))+5.0))))*100))/100))*0.96)),(((((MIN(($R21),99))/100))+5.0)/(1-(((MIN(($R21),99))/100))+5.0))))*100))/100))*0.96)),(((((MIN(($R20),99))/100))+5.0)/(1-(((MIN(($R20),99))/100))+5.0))))*100))/100))*0.96)),(((((MIN(($R$19),99))/100))+5.0)/(1-(((MIN(($R$19),99))/100))+5.0))))*100))/100))*0.96)),(((((MIN(($R18),99))/100))+5.0)/(1-(((MIN(($R18),99))/100))+5.0))))*100))/100))*0.96)),(((((MIN((R17),99))/100))+5.0)/(1-(((MIN((R17),99))/100))+5.0))))*100))/100))*0.96)),(((((MIN((R$16),99))/100))+5.0)/(1-(((MIN((R$16),99))/100))+5.0))))*100))/100))*0.96)),(((((MIN((R15),99))/100))+5.0)/(1-(((MIN((R15),99))/100))+5.0))))*100))/100))*0.96)),(((((MIN(($R$14),99))/100))+5.0)/(1-(((MIN(($R$14),99))/100))+5.0))))*100))/100))*0.96)),(((((MIN((R13),99))/100))+5.0)/(1-(((MIN((R13),99))/100))+5.0))))*100))/100))*0.96)),(((((MIN(($R12),99))/100))+5.0)/(1-(((MIN(($R12),99))/100))+5.0))))*100))/100))*0.96)),(((((MIN(($R11),99))/100))+5.0)/(1-(((MIN(($R11),99))/100))+5.0))))*100))/100))*0.96)),(((((MIN((R$10),99))/100))+5.0)/(1-(((MIN((R$10),99))/100))+5.0))))*100))/100))*0.96)),(((((MIN((R$9),99))/100))+5.0)/(1-(((MIN((R$9),99))/100))+5.0))))*100),0)</f>
        <v/>
      </c>
      <c r="S2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(81)/100))*0.96)),(((((MIN(($R$25),99))/100))+5.0)/(1-(((MIN(($R$25),99))/100))+5.0))))*100))/100))*0.96)),(((((MIN((Q$25),99))/100))+5.0)/(1-(((MIN((Q$25),99))/100))+5.0))))*100))/100))*0.96)),(((((MIN(($P$25),99))/100))+5.0)/(1-(((MIN(($P$25),99))/100))+5.0))))*100))/100))*0.96)),(((((MIN((O$25),99))/100))+5.0)/(1-(((MIN((O$25),99))/100))+5.0))))*100))/100))*0.96)),(((((MIN((N$25),99))/100))+5.0)/(1-(((MIN((N$25),99))/100))+5.0))))*100))/100))*0.96)),(((((MIN((M25),99))/100))+5.0)/(1-(((MIN((M25),99))/100))+5.0))))*100))/100))*0.96)),(((((MIN((L25),99))/100))+5.0)/(1-(((MIN((L25),99))/100))+5.0))))*100))/100))*0.96)),(((((MIN((K$25),99))/100))+5.0)/(1-(((MIN((K$25),99))/100))+5.0))))*100))/100))*0.96)),(((((MIN(($S$24),99))/100))+5.0)/(1-(((MIN(($S$24),99))/100))+5.0))))*100))/100))*0.96)),(((((MIN(($S23),99))/100))+5.0)/(1-(((MIN(($S23),99))/100))+5.0))))*100))/100))*0.96)),(((((MIN((S$22),99))/100))+5.0)/(1-(((MIN((S$22),99))/100))+5.0))))*100))/100))*0.96)),(((((MIN(($S$21),99))/100))+5.0)/(1-(((MIN(($S$21),99))/100))+5.0))))*100))/100))*0.96)),(((((MIN((S$20),99))/100))+5.0)/(1-(((MIN((S$20),99))/100))+5.0))))*100))/100))*0.96)),(((((MIN(($S19),99))/100))+5.0)/(1-(((MIN(($S19),99))/100))+5.0))))*100))/100))*0.96)),(((((MIN((S18),99))/100))+5.0)/(1-(((MIN((S18),99))/100))+5.0))))*100))/100))*0.96)),(((((MIN(($S17),99))/100))+5.0)/(1-(((MIN(($S17),99))/100))+5.0))))*100))/100))*0.96)),(((((MIN((S16),99))/100))+5.0)/(1-(((MIN((S16),99))/100))+5.0))))*100))/100))*0.96)),(((((MIN(($S15),99))/100))+5.0)/(1-(((MIN(($S15),99))/100))+5.0))))*100))/100))*0.96)),(((((MIN(($S$14),99))/100))+5.0)/(1-(((MIN(($S$14),99))/100))+5.0))))*100))/100))*0.96)),(((((MIN((S$13),99))/100))+5.0)/(1-(((MIN((S$13),99))/100))+5.0))))*100))/100))*0.96)),(((((MIN((S$12),99))/100))+5.0)/(1-(((MIN((S$12),99))/100))+5.0))))*100))/100))*0.96)),(((((MIN(($S$11),99))/100))+5.0)/(1-(((MIN(($S$11),99))/100))+5.0))))*100))/100))*0.96)),(((((MIN(($S$10),99))/100))+5.0)/(1-(((MIN(($S$10),99))/100))+5.0))))*100))/100))*0.96)),(((((MIN((S9),99))/100))+5.0)/(1-(((MIN((S9),99))/100))+5.0))))*100),0)</f>
        <v/>
      </c>
      <c r="T25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(23)/100))*0.96)),(((((MIN((S$25),99))/100))+5.0)/(1-(((MIN((S$25),99))/100))+5.0))))*100))/100))*0.96)),(((((MIN(($R$25),99))/100))+5.0)/(1-(((MIN(($R$25),99))/100))+5.0))))*100))/100))*0.96)),(((((MIN(($Q$25),99))/100))+5.0)/(1-(((MIN(($Q$25),99))/100))+5.0))))*100))/100))*0.96)),(((((MIN((P25),99))/100))+5.0)/(1-(((MIN((P25),99))/100))+5.0))))*100))/100))*0.96)),(((((MIN((O$25),99))/100))+5.0)/(1-(((MIN((O$25),99))/100))+5.0))))*100))/100))*0.96)),(((((MIN(($N25),99))/100))+5.0)/(1-(((MIN(($N25),99))/100))+5.0))))*100))/100))*0.96)),(((((MIN(($M$25),99))/100))+5.0)/(1-(((MIN(($M$25),99))/100))+5.0))))*100))/100))*0.96)),(((((MIN((L$25),99))/100))+5.0)/(1-(((MIN((L$25),99))/100))+5.0))))*100))/100))*0.96)),(((((MIN(($T$24),99))/100))+5.0)/(1-(((MIN(($T$24),99))/100))+5.0))))*100))/100))*0.96)),(((((MIN(($T$23),99))/100))+5.0)/(1-(((MIN(($T$23),99))/100))+5.0))))*100))/100))*0.96)),(((((MIN(($T22),99))/100))+5.0)/(1-(((MIN(($T22),99))/100))+5.0))))*100))/100))*0.96)),(((((MIN(($T$21),99))/100))+5.0)/(1-(((MIN(($T$21),99))/100))+5.0))))*100))/100))*0.96)),(((((MIN((T20),99))/100))+5.0)/(1-(((MIN((T20),99))/100))+5.0))))*100))/100))*0.96)),(((((MIN(($T19),99))/100))+5.0)/(1-(((MIN(($T19),99))/100))+5.0))))*100))/100))*0.96)),(((((MIN((T18),99))/100))+5.0)/(1-(((MIN((T18),99))/100))+5.0))))*100))/100))*0.96)),(((((MIN((T17),99))/100))+5.0)/(1-(((MIN((T17),99))/100))+5.0))))*100))/100))*0.96)),(((((MIN((T16),99))/100))+5.0)/(1-(((MIN((T16),99))/100))+5.0))))*100))/100))*0.96)),(((((MIN(($T$15),99))/100))+5.0)/(1-(((MIN(($T$15),99))/100))+5.0))))*100))/100))*0.96)),(((((MIN(($T$14),99))/100))+5.0)/(1-(((MIN(($T$14),99))/100))+5.0))))*100))/100))*0.96)),(((((MIN((T$13),99))/100))+5.0)/(1-(((MIN((T$13),99))/100))+5.0))))*100))/100))*0.96)),(((((MIN(($T12),99))/100))+5.0)/(1-(((MIN(($T12),99))/100))+5.0))))*100))/100))*0.96)),(((((MIN((T$11),99))/100))+5.0)/(1-(((MIN((T$11),99))/100))+5.0))))*100))/100))*0.96)),(((((MIN(($T$10),99))/100))+5.0)/(1-(((MIN(($T$10),99))/100))+5.0))))*100))/100))*0.96)),(((((MIN(($T9),99))/100))+5.0)/(1-(((MIN(($T9),99))/100))+5.0))))*100),0)</f>
        <v/>
      </c>
    </row>
    <row r="26">
      <c r="A2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(75)/100))*0.96)),(((((MIN(($A$25),99))/100))+5.0)/(1-(((MIN(($A$25),99))/100))+5.0))))*100))/100))*0.96)),(((((MIN((A$24),99))/100))+5.0)/(1-(((MIN((A$24),99))/100))+5.0))))*100))/100))*0.96)),(((((MIN(($A23),99))/100))+5.0)/(1-(((MIN(($A23),99))/100))+5.0))))*100))/100))*0.96)),(((((MIN(($A22),99))/100))+5.0)/(1-(((MIN(($A22),99))/100))+5.0))))*100))/100))*0.96)),(((((MIN((A$21),99))/100))+5.0)/(1-(((MIN((A$21),99))/100))+5.0))))*100))/100))*0.96)),(((((MIN((A$20),99))/100))+5.0)/(1-(((MIN((A$20),99))/100))+5.0))))*100))/100))*0.96)),(((((MIN((A$19),99))/100))+5.0)/(1-(((MIN((A$19),99))/100))+5.0))))*100))/100))*0.96)),(((((MIN(($A$18),99))/100))+5.0)/(1-(((MIN(($A$18),99))/100))+5.0))))*100))/100))*0.96)),(((((MIN((A$17),99))/100))+5.0)/(1-(((MIN((A$17),99))/100))+5.0))))*100))/100))*0.96)),(((((MIN(($A16),99))/100))+5.0)/(1-(((MIN(($A16),99))/100))+5.0))))*100))/100))*0.96)),(((((MIN(($A$15),99))/100))+5.0)/(1-(((MIN(($A$15),99))/100))+5.0))))*100))/100))*0.96)),(((((MIN(($A14),99))/100))+5.0)/(1-(((MIN(($A14),99))/100))+5.0))))*100))/100))*0.96)),(((((MIN((A$13),99))/100))+5.0)/(1-(((MIN((A$13),99))/100))+5.0))))*100))/100))*0.96)),(((((MIN((A$12),99))/100))+5.0)/(1-(((MIN((A$12),99))/100))+5.0))))*100))/100))*0.96)),(((((MIN((A11),99))/100))+5.0)/(1-(((MIN((A11),99))/100))+5.0))))*100))/100))*0.96)),(((((MIN(($A$10),99))/100))+5.0)/(1-(((MIN(($A$10),99))/100))+5.0))))*100),0)</f>
        <v/>
      </c>
      <c r="B2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(18)/100))*0.96)),(((((MIN((A26),99))/100))+5.0)/(1-(((MIN((A26),99))/100))+5.0))))*100))/100))*0.96)),(((((MIN((B$25),99))/100))+5.0)/(1-(((MIN((B$25),99))/100))+5.0))))*100))/100))*0.96)),(((((MIN((B24),99))/100))+5.0)/(1-(((MIN((B24),99))/100))+5.0))))*100))/100))*0.96)),(((((MIN((B23),99))/100))+5.0)/(1-(((MIN((B23),99))/100))+5.0))))*100))/100))*0.96)),(((((MIN((B$22),99))/100))+5.0)/(1-(((MIN((B$22),99))/100))+5.0))))*100))/100))*0.96)),(((((MIN(($B$21),99))/100))+5.0)/(1-(((MIN(($B$21),99))/100))+5.0))))*100))/100))*0.96)),(((((MIN(($B$20),99))/100))+5.0)/(1-(((MIN(($B$20),99))/100))+5.0))))*100))/100))*0.96)),(((((MIN(($B$19),99))/100))+5.0)/(1-(((MIN(($B$19),99))/100))+5.0))))*100))/100))*0.96)),(((((MIN((B$18),99))/100))+5.0)/(1-(((MIN((B$18),99))/100))+5.0))))*100))/100))*0.96)),(((((MIN((B$17),99))/100))+5.0)/(1-(((MIN((B$17),99))/100))+5.0))))*100))/100))*0.96)),(((((MIN(($B16),99))/100))+5.0)/(1-(((MIN(($B16),99))/100))+5.0))))*100))/100))*0.96)),(((((MIN(($B$15),99))/100))+5.0)/(1-(((MIN(($B$15),99))/100))+5.0))))*100))/100))*0.96)),(((((MIN(($B$14),99))/100))+5.0)/(1-(((MIN(($B$14),99))/100))+5.0))))*100))/100))*0.96)),(((((MIN((B$13),99))/100))+5.0)/(1-(((MIN((B$13),99))/100))+5.0))))*100))/100))*0.96)),(((((MIN((B12),99))/100))+5.0)/(1-(((MIN((B12),99))/100))+5.0))))*100))/100))*0.96)),(((((MIN((B$11),99))/100))+5.0)/(1-(((MIN((B$11),99))/100))+5.0))))*100))/100))*0.96)),(((((MIN((B$10),99))/100))+5.0)/(1-(((MIN((B$10),99))/100))+5.0))))*100),0)</f>
        <v/>
      </c>
      <c r="C2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(50)/100))*0.96)),(((((MIN((B26),99))/100))+5.0)/(1-(((MIN((B26),99))/100))+5.0))))*100))/100))*0.96)),(((((MIN((A26),99))/100))+5.0)/(1-(((MIN((A26),99))/100))+5.0))))*100))/100))*0.96)),(((((MIN(($C25),99))/100))+5.0)/(1-(((MIN(($C25),99))/100))+5.0))))*100))/100))*0.96)),(((((MIN(($C24),99))/100))+5.0)/(1-(((MIN(($C24),99))/100))+5.0))))*100))/100))*0.96)),(((((MIN(($C$23),99))/100))+5.0)/(1-(((MIN(($C$23),99))/100))+5.0))))*100))/100))*0.96)),(((((MIN((C22),99))/100))+5.0)/(1-(((MIN((C22),99))/100))+5.0))))*100))/100))*0.96)),(((((MIN(($C21),99))/100))+5.0)/(1-(((MIN(($C21),99))/100))+5.0))))*100))/100))*0.96)),(((((MIN((C$20),99))/100))+5.0)/(1-(((MIN((C$20),99))/100))+5.0))))*100))/100))*0.96)),(((((MIN(($C19),99))/100))+5.0)/(1-(((MIN(($C19),99))/100))+5.0))))*100))/100))*0.96)),(((((MIN((C$18),99))/100))+5.0)/(1-(((MIN((C$18),99))/100))+5.0))))*100))/100))*0.96)),(((((MIN((C$17),99))/100))+5.0)/(1-(((MIN((C$17),99))/100))+5.0))))*100))/100))*0.96)),(((((MIN(($C16),99))/100))+5.0)/(1-(((MIN(($C16),99))/100))+5.0))))*100))/100))*0.96)),(((((MIN(($C15),99))/100))+5.0)/(1-(((MIN(($C15),99))/100))+5.0))))*100))/100))*0.96)),(((((MIN((C$14),99))/100))+5.0)/(1-(((MIN((C$14),99))/100))+5.0))))*100))/100))*0.96)),(((((MIN(($C13),99))/100))+5.0)/(1-(((MIN(($C13),99))/100))+5.0))))*100))/100))*0.96)),(((((MIN(($C12),99))/100))+5.0)/(1-(((MIN(($C12),99))/100))+5.0))))*100))/100))*0.96)),(((((MIN(($C$11),99))/100))+5.0)/(1-(((MIN(($C$11),99))/100))+5.0))))*100))/100))*0.96)),(((((MIN((C$10),99))/100))+5.0)/(1-(((MIN((C$10),99))/100))+5.0))))*100),0)</f>
        <v/>
      </c>
      <c r="D2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(77)/100))*0.96)),(((((MIN((C$26),99))/100))+5.0)/(1-(((MIN((C$26),99))/100))+5.0))))*100))/100))*0.96)),(((((MIN((B$26),99))/100))+5.0)/(1-(((MIN((B$26),99))/100))+5.0))))*100))/100))*0.96)),(((((MIN(($A$26),99))/100))+5.0)/(1-(((MIN(($A$26),99))/100))+5.0))))*100))/100))*0.96)),(((((MIN((D$25),99))/100))+5.0)/(1-(((MIN((D$25),99))/100))+5.0))))*100))/100))*0.96)),(((((MIN((D24),99))/100))+5.0)/(1-(((MIN((D24),99))/100))+5.0))))*100))/100))*0.96)),(((((MIN((D$23),99))/100))+5.0)/(1-(((MIN((D$23),99))/100))+5.0))))*100))/100))*0.96)),(((((MIN(($D$22),99))/100))+5.0)/(1-(((MIN(($D$22),99))/100))+5.0))))*100))/100))*0.96)),(((((MIN((D$21),99))/100))+5.0)/(1-(((MIN((D$21),99))/100))+5.0))))*100))/100))*0.96)),(((((MIN((D$20),99))/100))+5.0)/(1-(((MIN((D$20),99))/100))+5.0))))*100))/100))*0.96)),(((((MIN((D$19),99))/100))+5.0)/(1-(((MIN((D$19),99))/100))+5.0))))*100))/100))*0.96)),(((((MIN((D$18),99))/100))+5.0)/(1-(((MIN((D$18),99))/100))+5.0))))*100))/100))*0.96)),(((((MIN((D$17),99))/100))+5.0)/(1-(((MIN((D$17),99))/100))+5.0))))*100))/100))*0.96)),(((((MIN(($D16),99))/100))+5.0)/(1-(((MIN(($D16),99))/100))+5.0))))*100))/100))*0.96)),(((((MIN((D$15),99))/100))+5.0)/(1-(((MIN((D$15),99))/100))+5.0))))*100))/100))*0.96)),(((((MIN(($D14),99))/100))+5.0)/(1-(((MIN(($D14),99))/100))+5.0))))*100))/100))*0.96)),(((((MIN(($D13),99))/100))+5.0)/(1-(((MIN(($D13),99))/100))+5.0))))*100))/100))*0.96)),(((((MIN((D12),99))/100))+5.0)/(1-(((MIN((D12),99))/100))+5.0))))*100))/100))*0.96)),(((((MIN(($D$11),99))/100))+5.0)/(1-(((MIN(($D$11),99))/100))+5.0))))*100))/100))*0.96)),(((((MIN(($D$10),99))/100))+5.0)/(1-(((MIN(($D$10),99))/100))+5.0))))*100),0)</f>
        <v/>
      </c>
      <c r="E2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(55)/100))*0.96)),(((((MIN(($D$26),99))/100))+5.0)/(1-(((MIN(($D$26),99))/100))+5.0))))*100))/100))*0.96)),(((((MIN((C$26),99))/100))+5.0)/(1-(((MIN((C$26),99))/100))+5.0))))*100))/100))*0.96)),(((((MIN((B26),99))/100))+5.0)/(1-(((MIN((B26),99))/100))+5.0))))*100))/100))*0.96)),(((((MIN((A$26),99))/100))+5.0)/(1-(((MIN((A$26),99))/100))+5.0))))*100))/100))*0.96)),(((((MIN(($E25),99))/100))+5.0)/(1-(((MIN(($E25),99))/100))+5.0))))*100))/100))*0.96)),(((((MIN(($E$24),99))/100))+5.0)/(1-(((MIN(($E$24),99))/100))+5.0))))*100))/100))*0.96)),(((((MIN(($E23),99))/100))+5.0)/(1-(((MIN(($E23),99))/100))+5.0))))*100))/100))*0.96)),(((((MIN((E$22),99))/100))+5.0)/(1-(((MIN((E$22),99))/100))+5.0))))*100))/100))*0.96)),(((((MIN((E21),99))/100))+5.0)/(1-(((MIN((E21),99))/100))+5.0))))*100))/100))*0.96)),(((((MIN(($E20),99))/100))+5.0)/(1-(((MIN(($E20),99))/100))+5.0))))*100))/100))*0.96)),(((((MIN(($E$19),99))/100))+5.0)/(1-(((MIN(($E$19),99))/100))+5.0))))*100))/100))*0.96)),(((((MIN(($E18),99))/100))+5.0)/(1-(((MIN(($E18),99))/100))+5.0))))*100))/100))*0.96)),(((((MIN(($E17),99))/100))+5.0)/(1-(((MIN(($E17),99))/100))+5.0))))*100))/100))*0.96)),(((((MIN(($E$16),99))/100))+5.0)/(1-(((MIN(($E$16),99))/100))+5.0))))*100))/100))*0.96)),(((((MIN(($E15),99))/100))+5.0)/(1-(((MIN(($E15),99))/100))+5.0))))*100))/100))*0.96)),(((((MIN((E$14),99))/100))+5.0)/(1-(((MIN((E$14),99))/100))+5.0))))*100))/100))*0.96)),(((((MIN((E$13),99))/100))+5.0)/(1-(((MIN((E$13),99))/100))+5.0))))*100))/100))*0.96)),(((((MIN(($E$12),99))/100))+5.0)/(1-(((MIN(($E$12),99))/100))+5.0))))*100))/100))*0.96)),(((((MIN((E11),99))/100))+5.0)/(1-(((MIN((E11),99))/100))+5.0))))*100))/100))*0.96)),(((((MIN(($E10),99))/100))+5.0)/(1-(((MIN(($E10),99))/100))+5.0))))*100),0)</f>
        <v/>
      </c>
      <c r="F2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(46)/100))*0.96)),(((((MIN(($E$26),99))/100))+5.0)/(1-(((MIN(($E$26),99))/100))+5.0))))*100))/100))*0.96)),(((((MIN(($D$26),99))/100))+5.0)/(1-(((MIN(($D$26),99))/100))+5.0))))*100))/100))*0.96)),(((((MIN(($C$26),99))/100))+5.0)/(1-(((MIN(($C$26),99))/100))+5.0))))*100))/100))*0.96)),(((((MIN((B26),99))/100))+5.0)/(1-(((MIN((B26),99))/100))+5.0))))*100))/100))*0.96)),(((((MIN((A$26),99))/100))+5.0)/(1-(((MIN((A$26),99))/100))+5.0))))*100))/100))*0.96)),(((((MIN(($F$25),99))/100))+5.0)/(1-(((MIN(($F$25),99))/100))+5.0))))*100))/100))*0.96)),(((((MIN((F$24),99))/100))+5.0)/(1-(((MIN((F$24),99))/100))+5.0))))*100))/100))*0.96)),(((((MIN(($F$23),99))/100))+5.0)/(1-(((MIN(($F$23),99))/100))+5.0))))*100))/100))*0.96)),(((((MIN(($F$22),99))/100))+5.0)/(1-(((MIN(($F$22),99))/100))+5.0))))*100))/100))*0.96)),(((((MIN(($F$21),99))/100))+5.0)/(1-(((MIN(($F$21),99))/100))+5.0))))*100))/100))*0.96)),(((((MIN((F20),99))/100))+5.0)/(1-(((MIN((F20),99))/100))+5.0))))*100))/100))*0.96)),(((((MIN(($F$19),99))/100))+5.0)/(1-(((MIN(($F$19),99))/100))+5.0))))*100))/100))*0.96)),(((((MIN((F$18),99))/100))+5.0)/(1-(((MIN((F$18),99))/100))+5.0))))*100))/100))*0.96)),(((((MIN((F17),99))/100))+5.0)/(1-(((MIN((F17),99))/100))+5.0))))*100))/100))*0.96)),(((((MIN((F$16),99))/100))+5.0)/(1-(((MIN((F$16),99))/100))+5.0))))*100))/100))*0.96)),(((((MIN(($F15),99))/100))+5.0)/(1-(((MIN(($F15),99))/100))+5.0))))*100))/100))*0.96)),(((((MIN(($F$14),99))/100))+5.0)/(1-(((MIN(($F$14),99))/100))+5.0))))*100))/100))*0.96)),(((((MIN(($F$13),99))/100))+5.0)/(1-(((MIN(($F$13),99))/100))+5.0))))*100))/100))*0.96)),(((((MIN((F12),99))/100))+5.0)/(1-(((MIN((F12),99))/100))+5.0))))*100))/100))*0.96)),(((((MIN(($F11),99))/100))+5.0)/(1-(((MIN(($F11),99))/100))+5.0))))*100))/100))*0.96)),(((((MIN((F10),99))/100))+5.0)/(1-(((MIN((F10),99))/100))+5.0))))*100),0)</f>
        <v/>
      </c>
      <c r="G2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(81)/100))*0.96)),(((((MIN((F$26),99))/100))+5.0)/(1-(((MIN((F$26),99))/100))+5.0))))*100))/100))*0.96)),(((((MIN((E26),99))/100))+5.0)/(1-(((MIN((E26),99))/100))+5.0))))*100))/100))*0.96)),(((((MIN(($D$26),99))/100))+5.0)/(1-(((MIN(($D$26),99))/100))+5.0))))*100))/100))*0.96)),(((((MIN(($C$26),99))/100))+5.0)/(1-(((MIN(($C$26),99))/100))+5.0))))*100))/100))*0.96)),(((((MIN(($B$26),99))/100))+5.0)/(1-(((MIN(($B$26),99))/100))+5.0))))*100))/100))*0.96)),(((((MIN((A$26),99))/100))+5.0)/(1-(((MIN((A$26),99))/100))+5.0))))*100))/100))*0.96)),(((((MIN((G$25),99))/100))+5.0)/(1-(((MIN((G$25),99))/100))+5.0))))*100))/100))*0.96)),(((((MIN(($G24),99))/100))+5.0)/(1-(((MIN(($G24),99))/100))+5.0))))*100))/100))*0.96)),(((((MIN((G$23),99))/100))+5.0)/(1-(((MIN((G$23),99))/100))+5.0))))*100))/100))*0.96)),(((((MIN(($G$22),99))/100))+5.0)/(1-(((MIN(($G$22),99))/100))+5.0))))*100))/100))*0.96)),(((((MIN(($G$21),99))/100))+5.0)/(1-(((MIN(($G$21),99))/100))+5.0))))*100))/100))*0.96)),(((((MIN(($G$20),99))/100))+5.0)/(1-(((MIN(($G$20),99))/100))+5.0))))*100))/100))*0.96)),(((((MIN((G19),99))/100))+5.0)/(1-(((MIN((G19),99))/100))+5.0))))*100))/100))*0.96)),(((((MIN((G18),99))/100))+5.0)/(1-(((MIN((G18),99))/100))+5.0))))*100))/100))*0.96)),(((((MIN(($G$17),99))/100))+5.0)/(1-(((MIN(($G$17),99))/100))+5.0))))*100))/100))*0.96)),(((((MIN(($G$16),99))/100))+5.0)/(1-(((MIN(($G$16),99))/100))+5.0))))*100))/100))*0.96)),(((((MIN((G15),99))/100))+5.0)/(1-(((MIN((G15),99))/100))+5.0))))*100))/100))*0.96)),(((((MIN((G14),99))/100))+5.0)/(1-(((MIN((G14),99))/100))+5.0))))*100))/100))*0.96)),(((((MIN((G$13),99))/100))+5.0)/(1-(((MIN((G$13),99))/100))+5.0))))*100))/100))*0.96)),(((((MIN((G$12),99))/100))+5.0)/(1-(((MIN((G$12),99))/100))+5.0))))*100))/100))*0.96)),(((((MIN(($G11),99))/100))+5.0)/(1-(((MIN(($G11),99))/100))+5.0))))*100))/100))*0.96)),(((((MIN(($G10),99))/100))+5.0)/(1-(((MIN(($G10),99))/100))+5.0))))*100),0)</f>
        <v/>
      </c>
      <c r="H2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(47)/100))*0.96)),(((((MIN(($G$26),99))/100))+5.0)/(1-(((MIN(($G$26),99))/100))+5.0))))*100))/100))*0.96)),(((((MIN((F26),99))/100))+5.0)/(1-(((MIN((F26),99))/100))+5.0))))*100))/100))*0.96)),(((((MIN((E$26),99))/100))+5.0)/(1-(((MIN((E$26),99))/100))+5.0))))*100))/100))*0.96)),(((((MIN(($D$26),99))/100))+5.0)/(1-(((MIN(($D$26),99))/100))+5.0))))*100))/100))*0.96)),(((((MIN(($C26),99))/100))+5.0)/(1-(((MIN(($C26),99))/100))+5.0))))*100))/100))*0.96)),(((((MIN(($B26),99))/100))+5.0)/(1-(((MIN(($B26),99))/100))+5.0))))*100))/100))*0.96)),(((((MIN(($A$26),99))/100))+5.0)/(1-(((MIN(($A$26),99))/100))+5.0))))*100))/100))*0.96)),(((((MIN((H25),99))/100))+5.0)/(1-(((MIN((H25),99))/100))+5.0))))*100))/100))*0.96)),(((((MIN((H24),99))/100))+5.0)/(1-(((MIN((H24),99))/100))+5.0))))*100))/100))*0.96)),(((((MIN(($H$23),99))/100))+5.0)/(1-(((MIN(($H$23),99))/100))+5.0))))*100))/100))*0.96)),(((((MIN((H$22),99))/100))+5.0)/(1-(((MIN((H$22),99))/100))+5.0))))*100))/100))*0.96)),(((((MIN((H21),99))/100))+5.0)/(1-(((MIN((H21),99))/100))+5.0))))*100))/100))*0.96)),(((((MIN(($H20),99))/100))+5.0)/(1-(((MIN(($H20),99))/100))+5.0))))*100))/100))*0.96)),(((((MIN((H19),99))/100))+5.0)/(1-(((MIN((H19),99))/100))+5.0))))*100))/100))*0.96)),(((((MIN(($H18),99))/100))+5.0)/(1-(((MIN(($H18),99))/100))+5.0))))*100))/100))*0.96)),(((((MIN((H$17),99))/100))+5.0)/(1-(((MIN((H$17),99))/100))+5.0))))*100))/100))*0.96)),(((((MIN(($H$16),99))/100))+5.0)/(1-(((MIN(($H$16),99))/100))+5.0))))*100))/100))*0.96)),(((((MIN(($H$15),99))/100))+5.0)/(1-(((MIN(($H$15),99))/100))+5.0))))*100))/100))*0.96)),(((((MIN(($H$14),99))/100))+5.0)/(1-(((MIN(($H$14),99))/100))+5.0))))*100))/100))*0.96)),(((((MIN(($H13),99))/100))+5.0)/(1-(((MIN(($H13),99))/100))+5.0))))*100))/100))*0.96)),(((((MIN((H$12),99))/100))+5.0)/(1-(((MIN((H$12),99))/100))+5.0))))*100))/100))*0.96)),(((((MIN((H11),99))/100))+5.0)/(1-(((MIN((H11),99))/100))+5.0))))*100))/100))*0.96)),(((((MIN((H10),99))/100))+5.0)/(1-(((MIN((H10),99))/100))+5.0))))*100),0)</f>
        <v/>
      </c>
      <c r="I2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(52)/100))*0.96)),(((((MIN((H$26),99))/100))+5.0)/(1-(((MIN((H$26),99))/100))+5.0))))*100))/100))*0.96)),(((((MIN((G$26),99))/100))+5.0)/(1-(((MIN((G$26),99))/100))+5.0))))*100))/100))*0.96)),(((((MIN(($F$26),99))/100))+5.0)/(1-(((MIN(($F$26),99))/100))+5.0))))*100))/100))*0.96)),(((((MIN((E26),99))/100))+5.0)/(1-(((MIN((E26),99))/100))+5.0))))*100))/100))*0.96)),(((((MIN(($D$26),99))/100))+5.0)/(1-(((MIN(($D$26),99))/100))+5.0))))*100))/100))*0.96)),(((((MIN(($C26),99))/100))+5.0)/(1-(((MIN(($C26),99))/100))+5.0))))*100))/100))*0.96)),(((((MIN(($B$26),99))/100))+5.0)/(1-(((MIN(($B$26),99))/100))+5.0))))*100))/100))*0.96)),(((((MIN((A26),99))/100))+5.0)/(1-(((MIN((A26),99))/100))+5.0))))*100))/100))*0.96)),(((((MIN(($I$25),99))/100))+5.0)/(1-(((MIN(($I$25),99))/100))+5.0))))*100))/100))*0.96)),(((((MIN(($I$24),99))/100))+5.0)/(1-(((MIN(($I$24),99))/100))+5.0))))*100))/100))*0.96)),(((((MIN((I$23),99))/100))+5.0)/(1-(((MIN((I$23),99))/100))+5.0))))*100))/100))*0.96)),(((((MIN((I$22),99))/100))+5.0)/(1-(((MIN((I$22),99))/100))+5.0))))*100))/100))*0.96)),(((((MIN((I$21),99))/100))+5.0)/(1-(((MIN((I$21),99))/100))+5.0))))*100))/100))*0.96)),(((((MIN((I20),99))/100))+5.0)/(1-(((MIN((I20),99))/100))+5.0))))*100))/100))*0.96)),(((((MIN(($I19),99))/100))+5.0)/(1-(((MIN(($I19),99))/100))+5.0))))*100))/100))*0.96)),(((((MIN((I$18),99))/100))+5.0)/(1-(((MIN((I$18),99))/100))+5.0))))*100))/100))*0.96)),(((((MIN(($I17),99))/100))+5.0)/(1-(((MIN(($I17),99))/100))+5.0))))*100))/100))*0.96)),(((((MIN(($I$16),99))/100))+5.0)/(1-(((MIN(($I$16),99))/100))+5.0))))*100))/100))*0.96)),(((((MIN((I$15),99))/100))+5.0)/(1-(((MIN((I$15),99))/100))+5.0))))*100))/100))*0.96)),(((((MIN((I$14),99))/100))+5.0)/(1-(((MIN((I$14),99))/100))+5.0))))*100))/100))*0.96)),(((((MIN((I13),99))/100))+5.0)/(1-(((MIN((I13),99))/100))+5.0))))*100))/100))*0.96)),(((((MIN((I12),99))/100))+5.0)/(1-(((MIN((I12),99))/100))+5.0))))*100))/100))*0.96)),(((((MIN(($I$11),99))/100))+5.0)/(1-(((MIN(($I$11),99))/100))+5.0))))*100))/100))*0.96)),(((((MIN((I$10),99))/100))+5.0)/(1-(((MIN((I$10),99))/100))+5.0))))*100),0)</f>
        <v/>
      </c>
      <c r="J2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(70)/100))*0.96)),(((((MIN(($I26),99))/100))+5.0)/(1-(((MIN(($I26),99))/100))+5.0))))*100))/100))*0.96)),(((((MIN(($H$26),99))/100))+5.0)/(1-(((MIN(($H$26),99))/100))+5.0))))*100))/100))*0.96)),(((((MIN((G26),99))/100))+5.0)/(1-(((MIN((G26),99))/100))+5.0))))*100))/100))*0.96)),(((((MIN(($F26),99))/100))+5.0)/(1-(((MIN(($F26),99))/100))+5.0))))*100))/100))*0.96)),(((((MIN(($E26),99))/100))+5.0)/(1-(((MIN(($E26),99))/100))+5.0))))*100))/100))*0.96)),(((((MIN((D26),99))/100))+5.0)/(1-(((MIN((D26),99))/100))+5.0))))*100))/100))*0.96)),(((((MIN((C$26),99))/100))+5.0)/(1-(((MIN((C$26),99))/100))+5.0))))*100))/100))*0.96)),(((((MIN((B$26),99))/100))+5.0)/(1-(((MIN((B$26),99))/100))+5.0))))*100))/100))*0.96)),(((((MIN(($J$25),99))/100))+5.0)/(1-(((MIN(($J$25),99))/100))+5.0))))*100))/100))*0.96)),(((((MIN((J24),99))/100))+5.0)/(1-(((MIN((J24),99))/100))+5.0))))*100))/100))*0.96)),(((((MIN((J23),99))/100))+5.0)/(1-(((MIN((J23),99))/100))+5.0))))*100))/100))*0.96)),(((((MIN(($J$22),99))/100))+5.0)/(1-(((MIN(($J$22),99))/100))+5.0))))*100))/100))*0.96)),(((((MIN(($J21),99))/100))+5.0)/(1-(((MIN(($J21),99))/100))+5.0))))*100))/100))*0.96)),(((((MIN((J$20),99))/100))+5.0)/(1-(((MIN((J$20),99))/100))+5.0))))*100))/100))*0.96)),(((((MIN((J19),99))/100))+5.0)/(1-(((MIN((J19),99))/100))+5.0))))*100))/100))*0.96)),(((((MIN(($J$18),99))/100))+5.0)/(1-(((MIN(($J$18),99))/100))+5.0))))*100))/100))*0.96)),(((((MIN(($J17),99))/100))+5.0)/(1-(((MIN(($J17),99))/100))+5.0))))*100))/100))*0.96)),(((((MIN(($J16),99))/100))+5.0)/(1-(((MIN(($J16),99))/100))+5.0))))*100))/100))*0.96)),(((((MIN(($J$15),99))/100))+5.0)/(1-(((MIN(($J$15),99))/100))+5.0))))*100))/100))*0.96)),(((((MIN(($J$14),99))/100))+5.0)/(1-(((MIN(($J$14),99))/100))+5.0))))*100))/100))*0.96)),(((((MIN(($J$13),99))/100))+5.0)/(1-(((MIN(($J$13),99))/100))+5.0))))*100))/100))*0.96)),(((((MIN(($J$12),99))/100))+5.0)/(1-(((MIN(($J$12),99))/100))+5.0))))*100))/100))*0.96)),(((((MIN(($J$11),99))/100))+5.0)/(1-(((MIN(($J$11),99))/100))+5.0))))*100))/100))*0.96)),(((((MIN(($J10),99))/100))+5.0)/(1-(((MIN(($J10),99))/100))+5.0))))*100),0)</f>
        <v/>
      </c>
      <c r="K2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(39)/100))*0.96)),(((((MIN(($J26),99))/100))+5.0)/(1-(((MIN(($J26),99))/100))+5.0))))*100))/100))*0.96)),(((((MIN((I26),99))/100))+5.0)/(1-(((MIN((I26),99))/100))+5.0))))*100))/100))*0.96)),(((((MIN(($H26),99))/100))+5.0)/(1-(((MIN(($H26),99))/100))+5.0))))*100))/100))*0.96)),(((((MIN((G$26),99))/100))+5.0)/(1-(((MIN((G$26),99))/100))+5.0))))*100))/100))*0.96)),(((((MIN(($F26),99))/100))+5.0)/(1-(((MIN(($F26),99))/100))+5.0))))*100))/100))*0.96)),(((((MIN(($E$26),99))/100))+5.0)/(1-(((MIN(($E$26),99))/100))+5.0))))*100))/100))*0.96)),(((((MIN((D$26),99))/100))+5.0)/(1-(((MIN((D$26),99))/100))+5.0))))*100))/100))*0.96)),(((((MIN(($C26),99))/100))+5.0)/(1-(((MIN(($C26),99))/100))+5.0))))*100))/100))*0.96)),(((((MIN((K$25),99))/100))+5.0)/(1-(((MIN((K$25),99))/100))+5.0))))*100))/100))*0.96)),(((((MIN((K$24),99))/100))+5.0)/(1-(((MIN((K$24),99))/100))+5.0))))*100))/100))*0.96)),(((((MIN(($K23),99))/100))+5.0)/(1-(((MIN(($K23),99))/100))+5.0))))*100))/100))*0.96)),(((((MIN(($K$22),99))/100))+5.0)/(1-(((MIN(($K$22),99))/100))+5.0))))*100))/100))*0.96)),(((((MIN(($K$21),99))/100))+5.0)/(1-(((MIN(($K$21),99))/100))+5.0))))*100))/100))*0.96)),(((((MIN(($K20),99))/100))+5.0)/(1-(((MIN(($K20),99))/100))+5.0))))*100))/100))*0.96)),(((((MIN(($K19),99))/100))+5.0)/(1-(((MIN(($K19),99))/100))+5.0))))*100))/100))*0.96)),(((((MIN((K$18),99))/100))+5.0)/(1-(((MIN((K$18),99))/100))+5.0))))*100))/100))*0.96)),(((((MIN(($K$17),99))/100))+5.0)/(1-(((MIN(($K$17),99))/100))+5.0))))*100))/100))*0.96)),(((((MIN((K$16),99))/100))+5.0)/(1-(((MIN((K$16),99))/100))+5.0))))*100))/100))*0.96)),(((((MIN((K15),99))/100))+5.0)/(1-(((MIN((K15),99))/100))+5.0))))*100))/100))*0.96)),(((((MIN((K$14),99))/100))+5.0)/(1-(((MIN((K$14),99))/100))+5.0))))*100))/100))*0.96)),(((((MIN((K13),99))/100))+5.0)/(1-(((MIN((K13),99))/100))+5.0))))*100))/100))*0.96)),(((((MIN((K12),99))/100))+5.0)/(1-(((MIN((K12),99))/100))+5.0))))*100))/100))*0.96)),(((((MIN((K$11),99))/100))+5.0)/(1-(((MIN((K$11),99))/100))+5.0))))*100))/100))*0.96)),(((((MIN(($K10),99))/100))+5.0)/(1-(((MIN(($K10),99))/100))+5.0))))*100),0)</f>
        <v/>
      </c>
      <c r="L2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(68)/100))*0.96)),(((((MIN((K$26),99))/100))+5.0)/(1-(((MIN((K$26),99))/100))+5.0))))*100))/100))*0.96)),(((((MIN(($J26),99))/100))+5.0)/(1-(((MIN(($J26),99))/100))+5.0))))*100))/100))*0.96)),(((((MIN(($I26),99))/100))+5.0)/(1-(((MIN(($I26),99))/100))+5.0))))*100))/100))*0.96)),(((((MIN((H26),99))/100))+5.0)/(1-(((MIN((H26),99))/100))+5.0))))*100))/100))*0.96)),(((((MIN(($G26),99))/100))+5.0)/(1-(((MIN(($G26),99))/100))+5.0))))*100))/100))*0.96)),(((((MIN((F26),99))/100))+5.0)/(1-(((MIN((F26),99))/100))+5.0))))*100))/100))*0.96)),(((((MIN(($E$26),99))/100))+5.0)/(1-(((MIN(($E$26),99))/100))+5.0))))*100))/100))*0.96)),(((((MIN((D26),99))/100))+5.0)/(1-(((MIN((D26),99))/100))+5.0))))*100))/100))*0.96)),(((((MIN((L25),99))/100))+5.0)/(1-(((MIN((L25),99))/100))+5.0))))*100))/100))*0.96)),(((((MIN(($L24),99))/100))+5.0)/(1-(((MIN(($L24),99))/100))+5.0))))*100))/100))*0.96)),(((((MIN((L$23),99))/100))+5.0)/(1-(((MIN((L$23),99))/100))+5.0))))*100))/100))*0.96)),(((((MIN((L22),99))/100))+5.0)/(1-(((MIN((L22),99))/100))+5.0))))*100))/100))*0.96)),(((((MIN(($L$21),99))/100))+5.0)/(1-(((MIN(($L$21),99))/100))+5.0))))*100))/100))*0.96)),(((((MIN(($L20),99))/100))+5.0)/(1-(((MIN(($L20),99))/100))+5.0))))*100))/100))*0.96)),(((((MIN(($L19),99))/100))+5.0)/(1-(((MIN(($L19),99))/100))+5.0))))*100))/100))*0.96)),(((((MIN((L$18),99))/100))+5.0)/(1-(((MIN((L$18),99))/100))+5.0))))*100))/100))*0.96)),(((((MIN((L$17),99))/100))+5.0)/(1-(((MIN((L$17),99))/100))+5.0))))*100))/100))*0.96)),(((((MIN((L$16),99))/100))+5.0)/(1-(((MIN((L$16),99))/100))+5.0))))*100))/100))*0.96)),(((((MIN((L15),99))/100))+5.0)/(1-(((MIN((L15),99))/100))+5.0))))*100))/100))*0.96)),(((((MIN((L14),99))/100))+5.0)/(1-(((MIN((L14),99))/100))+5.0))))*100))/100))*0.96)),(((((MIN((L13),99))/100))+5.0)/(1-(((MIN((L13),99))/100))+5.0))))*100))/100))*0.96)),(((((MIN(($L$12),99))/100))+5.0)/(1-(((MIN(($L$12),99))/100))+5.0))))*100))/100))*0.96)),(((((MIN((L11),99))/100))+5.0)/(1-(((MIN((L11),99))/100))+5.0))))*100))/100))*0.96)),(((((MIN((L10),99))/100))+5.0)/(1-(((MIN((L10),99))/100))+5.0))))*100),0)</f>
        <v/>
      </c>
      <c r="M2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(19)/100))*0.96)),(((((MIN(($L26),99))/100))+5.0)/(1-(((MIN(($L26),99))/100))+5.0))))*100))/100))*0.96)),(((((MIN((K$26),99))/100))+5.0)/(1-(((MIN((K$26),99))/100))+5.0))))*100))/100))*0.96)),(((((MIN((J$26),99))/100))+5.0)/(1-(((MIN((J$26),99))/100))+5.0))))*100))/100))*0.96)),(((((MIN(($I$26),99))/100))+5.0)/(1-(((MIN(($I$26),99))/100))+5.0))))*100))/100))*0.96)),(((((MIN((H26),99))/100))+5.0)/(1-(((MIN((H26),99))/100))+5.0))))*100))/100))*0.96)),(((((MIN(($G26),99))/100))+5.0)/(1-(((MIN(($G26),99))/100))+5.0))))*100))/100))*0.96)),(((((MIN(($F$26),99))/100))+5.0)/(1-(((MIN(($F$26),99))/100))+5.0))))*100))/100))*0.96)),(((((MIN(($E26),99))/100))+5.0)/(1-(((MIN(($E26),99))/100))+5.0))))*100))/100))*0.96)),(((((MIN((M25),99))/100))+5.0)/(1-(((MIN((M25),99))/100))+5.0))))*100))/100))*0.96)),(((((MIN(($M24),99))/100))+5.0)/(1-(((MIN(($M24),99))/100))+5.0))))*100))/100))*0.96)),(((((MIN((M23),99))/100))+5.0)/(1-(((MIN((M23),99))/100))+5.0))))*100))/100))*0.96)),(((((MIN((M$22),99))/100))+5.0)/(1-(((MIN((M$22),99))/100))+5.0))))*100))/100))*0.96)),(((((MIN((M21),99))/100))+5.0)/(1-(((MIN((M21),99))/100))+5.0))))*100))/100))*0.96)),(((((MIN((M20),99))/100))+5.0)/(1-(((MIN((M20),99))/100))+5.0))))*100))/100))*0.96)),(((((MIN(($M$19),99))/100))+5.0)/(1-(((MIN(($M$19),99))/100))+5.0))))*100))/100))*0.96)),(((((MIN((M18),99))/100))+5.0)/(1-(((MIN((M18),99))/100))+5.0))))*100))/100))*0.96)),(((((MIN((M$17),99))/100))+5.0)/(1-(((MIN((M$17),99))/100))+5.0))))*100))/100))*0.96)),(((((MIN((M$16),99))/100))+5.0)/(1-(((MIN((M$16),99))/100))+5.0))))*100))/100))*0.96)),(((((MIN(($M$15),99))/100))+5.0)/(1-(((MIN(($M$15),99))/100))+5.0))))*100))/100))*0.96)),(((((MIN((M14),99))/100))+5.0)/(1-(((MIN((M14),99))/100))+5.0))))*100))/100))*0.96)),(((((MIN((M13),99))/100))+5.0)/(1-(((MIN((M13),99))/100))+5.0))))*100))/100))*0.96)),(((((MIN((M12),99))/100))+5.0)/(1-(((MIN((M12),99))/100))+5.0))))*100))/100))*0.96)),(((((MIN((M$11),99))/100))+5.0)/(1-(((MIN((M$11),99))/100))+5.0))))*100))/100))*0.96)),(((((MIN(($M10),99))/100))+5.0)/(1-(((MIN(($M10),99))/100))+5.0))))*100),0)</f>
        <v/>
      </c>
      <c r="N2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(22)/100))*0.96)),(((((MIN(($M$26),99))/100))+5.0)/(1-(((MIN(($M$26),99))/100))+5.0))))*100))/100))*0.96)),(((((MIN(($L26),99))/100))+5.0)/(1-(((MIN(($L26),99))/100))+5.0))))*100))/100))*0.96)),(((((MIN((K26),99))/100))+5.0)/(1-(((MIN((K26),99))/100))+5.0))))*100))/100))*0.96)),(((((MIN(($J26),99))/100))+5.0)/(1-(((MIN(($J26),99))/100))+5.0))))*100))/100))*0.96)),(((((MIN(($I26),99))/100))+5.0)/(1-(((MIN(($I26),99))/100))+5.0))))*100))/100))*0.96)),(((((MIN((H$26),99))/100))+5.0)/(1-(((MIN((H$26),99))/100))+5.0))))*100))/100))*0.96)),(((((MIN(($G26),99))/100))+5.0)/(1-(((MIN(($G26),99))/100))+5.0))))*100))/100))*0.96)),(((((MIN(($F26),99))/100))+5.0)/(1-(((MIN(($F26),99))/100))+5.0))))*100))/100))*0.96)),(((((MIN((N$25),99))/100))+5.0)/(1-(((MIN((N$25),99))/100))+5.0))))*100))/100))*0.96)),(((((MIN((N24),99))/100))+5.0)/(1-(((MIN((N24),99))/100))+5.0))))*100))/100))*0.96)),(((((MIN((N$23),99))/100))+5.0)/(1-(((MIN((N$23),99))/100))+5.0))))*100))/100))*0.96)),(((((MIN((N22),99))/100))+5.0)/(1-(((MIN((N22),99))/100))+5.0))))*100))/100))*0.96)),(((((MIN((N$21),99))/100))+5.0)/(1-(((MIN((N$21),99))/100))+5.0))))*100))/100))*0.96)),(((((MIN(($N20),99))/100))+5.0)/(1-(((MIN(($N20),99))/100))+5.0))))*100))/100))*0.96)),(((((MIN(($N19),99))/100))+5.0)/(1-(((MIN(($N19),99))/100))+5.0))))*100))/100))*0.96)),(((((MIN((N18),99))/100))+5.0)/(1-(((MIN((N18),99))/100))+5.0))))*100))/100))*0.96)),(((((MIN((N$17),99))/100))+5.0)/(1-(((MIN((N$17),99))/100))+5.0))))*100))/100))*0.96)),(((((MIN((N$16),99))/100))+5.0)/(1-(((MIN((N$16),99))/100))+5.0))))*100))/100))*0.96)),(((((MIN((N15),99))/100))+5.0)/(1-(((MIN((N15),99))/100))+5.0))))*100))/100))*0.96)),(((((MIN(($N$14),99))/100))+5.0)/(1-(((MIN(($N$14),99))/100))+5.0))))*100))/100))*0.96)),(((((MIN(($N13),99))/100))+5.0)/(1-(((MIN(($N13),99))/100))+5.0))))*100))/100))*0.96)),(((((MIN(($N12),99))/100))+5.0)/(1-(((MIN(($N12),99))/100))+5.0))))*100))/100))*0.96)),(((((MIN(($N$11),99))/100))+5.0)/(1-(((MIN(($N$11),99))/100))+5.0))))*100))/100))*0.96)),(((((MIN(($N$10),99))/100))+5.0)/(1-(((MIN(($N$10),99))/100))+5.0))))*100),0)</f>
        <v/>
      </c>
      <c r="O2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(8)/100))*0.96)),(((((MIN(($N$26),99))/100))+5.0)/(1-(((MIN(($N$26),99))/100))+5.0))))*100))/100))*0.96)),(((((MIN((M$26),99))/100))+5.0)/(1-(((MIN((M$26),99))/100))+5.0))))*100))/100))*0.96)),(((((MIN((L26),99))/100))+5.0)/(1-(((MIN((L26),99))/100))+5.0))))*100))/100))*0.96)),(((((MIN(($K26),99))/100))+5.0)/(1-(((MIN(($K26),99))/100))+5.0))))*100))/100))*0.96)),(((((MIN((J26),99))/100))+5.0)/(1-(((MIN((J26),99))/100))+5.0))))*100))/100))*0.96)),(((((MIN(($I$26),99))/100))+5.0)/(1-(((MIN(($I$26),99))/100))+5.0))))*100))/100))*0.96)),(((((MIN((H$26),99))/100))+5.0)/(1-(((MIN((H$26),99))/100))+5.0))))*100))/100))*0.96)),(((((MIN(($G26),99))/100))+5.0)/(1-(((MIN(($G26),99))/100))+5.0))))*100))/100))*0.96)),(((((MIN(($O25),99))/100))+5.0)/(1-(((MIN(($O25),99))/100))+5.0))))*100))/100))*0.96)),(((((MIN((O24),99))/100))+5.0)/(1-(((MIN((O24),99))/100))+5.0))))*100))/100))*0.96)),(((((MIN((O$23),99))/100))+5.0)/(1-(((MIN((O$23),99))/100))+5.0))))*100))/100))*0.96)),(((((MIN((O$22),99))/100))+5.0)/(1-(((MIN((O$22),99))/100))+5.0))))*100))/100))*0.96)),(((((MIN(($O21),99))/100))+5.0)/(1-(((MIN(($O21),99))/100))+5.0))))*100))/100))*0.96)),(((((MIN(($O$20),99))/100))+5.0)/(1-(((MIN(($O$20),99))/100))+5.0))))*100))/100))*0.96)),(((((MIN(($O19),99))/100))+5.0)/(1-(((MIN(($O19),99))/100))+5.0))))*100))/100))*0.96)),(((((MIN((O18),99))/100))+5.0)/(1-(((MIN((O18),99))/100))+5.0))))*100))/100))*0.96)),(((((MIN(($O17),99))/100))+5.0)/(1-(((MIN(($O17),99))/100))+5.0))))*100))/100))*0.96)),(((((MIN(($O$16),99))/100))+5.0)/(1-(((MIN(($O$16),99))/100))+5.0))))*100))/100))*0.96)),(((((MIN((O15),99))/100))+5.0)/(1-(((MIN((O15),99))/100))+5.0))))*100))/100))*0.96)),(((((MIN((O$14),99))/100))+5.0)/(1-(((MIN((O$14),99))/100))+5.0))))*100))/100))*0.96)),(((((MIN(($O$13),99))/100))+5.0)/(1-(((MIN(($O$13),99))/100))+5.0))))*100))/100))*0.96)),(((((MIN((O12),99))/100))+5.0)/(1-(((MIN((O12),99))/100))+5.0))))*100))/100))*0.96)),(((((MIN((O$11),99))/100))+5.0)/(1-(((MIN((O$11),99))/100))+5.0))))*100))/100))*0.96)),(((((MIN(($O10),99))/100))+5.0)/(1-(((MIN(($O10),99))/100))+5.0))))*100),0)</f>
        <v/>
      </c>
      <c r="P2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(90)/100))*0.96)),(((((MIN((O$26),99))/100))+5.0)/(1-(((MIN((O$26),99))/100))+5.0))))*100))/100))*0.96)),(((((MIN(($N26),99))/100))+5.0)/(1-(((MIN(($N26),99))/100))+5.0))))*100))/100))*0.96)),(((((MIN(($M$26),99))/100))+5.0)/(1-(((MIN(($M$26),99))/100))+5.0))))*100))/100))*0.96)),(((((MIN((L$26),99))/100))+5.0)/(1-(((MIN((L$26),99))/100))+5.0))))*100))/100))*0.96)),(((((MIN(($K$26),99))/100))+5.0)/(1-(((MIN(($K$26),99))/100))+5.0))))*100))/100))*0.96)),(((((MIN(($J$26),99))/100))+5.0)/(1-(((MIN(($J$26),99))/100))+5.0))))*100))/100))*0.96)),(((((MIN(($I26),99))/100))+5.0)/(1-(((MIN(($I26),99))/100))+5.0))))*100))/100))*0.96)),(((((MIN((H26),99))/100))+5.0)/(1-(((MIN((H26),99))/100))+5.0))))*100))/100))*0.96)),(((((MIN((P25),99))/100))+5.0)/(1-(((MIN((P25),99))/100))+5.0))))*100))/100))*0.96)),(((((MIN(($P$24),99))/100))+5.0)/(1-(((MIN(($P$24),99))/100))+5.0))))*100))/100))*0.96)),(((((MIN(($P$23),99))/100))+5.0)/(1-(((MIN(($P$23),99))/100))+5.0))))*100))/100))*0.96)),(((((MIN(($P22),99))/100))+5.0)/(1-(((MIN(($P22),99))/100))+5.0))))*100))/100))*0.96)),(((((MIN(($P21),99))/100))+5.0)/(1-(((MIN(($P21),99))/100))+5.0))))*100))/100))*0.96)),(((((MIN(($P$20),99))/100))+5.0)/(1-(((MIN(($P$20),99))/100))+5.0))))*100))/100))*0.96)),(((((MIN(($P19),99))/100))+5.0)/(1-(((MIN(($P19),99))/100))+5.0))))*100))/100))*0.96)),(((((MIN((P18),99))/100))+5.0)/(1-(((MIN((P18),99))/100))+5.0))))*100))/100))*0.96)),(((((MIN(($P$17),99))/100))+5.0)/(1-(((MIN(($P$17),99))/100))+5.0))))*100))/100))*0.96)),(((((MIN((P16),99))/100))+5.0)/(1-(((MIN((P16),99))/100))+5.0))))*100))/100))*0.96)),(((((MIN((P15),99))/100))+5.0)/(1-(((MIN((P15),99))/100))+5.0))))*100))/100))*0.96)),(((((MIN(($P14),99))/100))+5.0)/(1-(((MIN(($P14),99))/100))+5.0))))*100))/100))*0.96)),(((((MIN((P$13),99))/100))+5.0)/(1-(((MIN((P$13),99))/100))+5.0))))*100))/100))*0.96)),(((((MIN((P12),99))/100))+5.0)/(1-(((MIN((P12),99))/100))+5.0))))*100))/100))*0.96)),(((((MIN(($P$11),99))/100))+5.0)/(1-(((MIN(($P$11),99))/100))+5.0))))*100))/100))*0.96)),(((((MIN((P$10),99))/100))+5.0)/(1-(((MIN((P$10),99))/100))+5.0))))*100),0)</f>
        <v/>
      </c>
      <c r="Q2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(19)/100))*0.96)),(((((MIN((P$26),99))/100))+5.0)/(1-(((MIN((P$26),99))/100))+5.0))))*100))/100))*0.96)),(((((MIN((O$26),99))/100))+5.0)/(1-(((MIN((O$26),99))/100))+5.0))))*100))/100))*0.96)),(((((MIN(($N26),99))/100))+5.0)/(1-(((MIN(($N26),99))/100))+5.0))))*100))/100))*0.96)),(((((MIN((M$26),99))/100))+5.0)/(1-(((MIN((M$26),99))/100))+5.0))))*100))/100))*0.96)),(((((MIN(($L26),99))/100))+5.0)/(1-(((MIN(($L26),99))/100))+5.0))))*100))/100))*0.96)),(((((MIN((K$26),99))/100))+5.0)/(1-(((MIN((K$26),99))/100))+5.0))))*100))/100))*0.96)),(((((MIN(($J26),99))/100))+5.0)/(1-(((MIN(($J26),99))/100))+5.0))))*100))/100))*0.96)),(((((MIN((I26),99))/100))+5.0)/(1-(((MIN((I26),99))/100))+5.0))))*100))/100))*0.96)),(((((MIN(($Q25),99))/100))+5.0)/(1-(((MIN(($Q25),99))/100))+5.0))))*100))/100))*0.96)),(((((MIN((Q24),99))/100))+5.0)/(1-(((MIN((Q24),99))/100))+5.0))))*100))/100))*0.96)),(((((MIN((Q$23),99))/100))+5.0)/(1-(((MIN((Q$23),99))/100))+5.0))))*100))/100))*0.96)),(((((MIN(($Q$22),99))/100))+5.0)/(1-(((MIN(($Q$22),99))/100))+5.0))))*100))/100))*0.96)),(((((MIN((Q21),99))/100))+5.0)/(1-(((MIN((Q21),99))/100))+5.0))))*100))/100))*0.96)),(((((MIN((Q$20),99))/100))+5.0)/(1-(((MIN((Q$20),99))/100))+5.0))))*100))/100))*0.96)),(((((MIN((Q$19),99))/100))+5.0)/(1-(((MIN((Q$19),99))/100))+5.0))))*100))/100))*0.96)),(((((MIN(($Q$18),99))/100))+5.0)/(1-(((MIN(($Q$18),99))/100))+5.0))))*100))/100))*0.96)),(((((MIN(($Q17),99))/100))+5.0)/(1-(((MIN(($Q17),99))/100))+5.0))))*100))/100))*0.96)),(((((MIN((Q16),99))/100))+5.0)/(1-(((MIN((Q16),99))/100))+5.0))))*100))/100))*0.96)),(((((MIN(($Q15),99))/100))+5.0)/(1-(((MIN(($Q15),99))/100))+5.0))))*100))/100))*0.96)),(((((MIN((Q$14),99))/100))+5.0)/(1-(((MIN((Q$14),99))/100))+5.0))))*100))/100))*0.96)),(((((MIN((Q$13),99))/100))+5.0)/(1-(((MIN((Q$13),99))/100))+5.0))))*100))/100))*0.96)),(((((MIN(($Q$12),99))/100))+5.0)/(1-(((MIN(($Q$12),99))/100))+5.0))))*100))/100))*0.96)),(((((MIN(($Q$11),99))/100))+5.0)/(1-(((MIN(($Q$11),99))/100))+5.0))))*100))/100))*0.96)),(((((MIN((Q$10),99))/100))+5.0)/(1-(((MIN((Q$10),99))/100))+5.0))))*100),0)</f>
        <v/>
      </c>
      <c r="R2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(9)/100))*0.96)),(((((MIN((Q$26),99))/100))+5.0)/(1-(((MIN((Q$26),99))/100))+5.0))))*100))/100))*0.96)),(((((MIN((P26),99))/100))+5.0)/(1-(((MIN((P26),99))/100))+5.0))))*100))/100))*0.96)),(((((MIN((O26),99))/100))+5.0)/(1-(((MIN((O26),99))/100))+5.0))))*100))/100))*0.96)),(((((MIN(($N26),99))/100))+5.0)/(1-(((MIN(($N26),99))/100))+5.0))))*100))/100))*0.96)),(((((MIN((M26),99))/100))+5.0)/(1-(((MIN((M26),99))/100))+5.0))))*100))/100))*0.96)),(((((MIN(($L$26),99))/100))+5.0)/(1-(((MIN(($L$26),99))/100))+5.0))))*100))/100))*0.96)),(((((MIN(($K$26),99))/100))+5.0)/(1-(((MIN(($K$26),99))/100))+5.0))))*100))/100))*0.96)),(((((MIN(($J26),99))/100))+5.0)/(1-(((MIN(($J26),99))/100))+5.0))))*100))/100))*0.96)),(((((MIN((R$25),99))/100))+5.0)/(1-(((MIN((R$25),99))/100))+5.0))))*100))/100))*0.96)),(((((MIN(($R$24),99))/100))+5.0)/(1-(((MIN(($R$24),99))/100))+5.0))))*100))/100))*0.96)),(((((MIN((R23),99))/100))+5.0)/(1-(((MIN((R23),99))/100))+5.0))))*100))/100))*0.96)),(((((MIN(($R$22),99))/100))+5.0)/(1-(((MIN(($R$22),99))/100))+5.0))))*100))/100))*0.96)),(((((MIN((R$21),99))/100))+5.0)/(1-(((MIN((R$21),99))/100))+5.0))))*100))/100))*0.96)),(((((MIN((R20),99))/100))+5.0)/(1-(((MIN((R20),99))/100))+5.0))))*100))/100))*0.96)),(((((MIN(($R19),99))/100))+5.0)/(1-(((MIN(($R19),99))/100))+5.0))))*100))/100))*0.96)),(((((MIN(($R$18),99))/100))+5.0)/(1-(((MIN(($R$18),99))/100))+5.0))))*100))/100))*0.96)),(((((MIN(($R$17),99))/100))+5.0)/(1-(((MIN(($R$17),99))/100))+5.0))))*100))/100))*0.96)),(((((MIN(($R16),99))/100))+5.0)/(1-(((MIN(($R16),99))/100))+5.0))))*100))/100))*0.96)),(((((MIN((R15),99))/100))+5.0)/(1-(((MIN((R15),99))/100))+5.0))))*100))/100))*0.96)),(((((MIN(($R$14),99))/100))+5.0)/(1-(((MIN(($R$14),99))/100))+5.0))))*100))/100))*0.96)),(((((MIN((R$13),99))/100))+5.0)/(1-(((MIN((R$13),99))/100))+5.0))))*100))/100))*0.96)),(((((MIN(($R12),99))/100))+5.0)/(1-(((MIN(($R12),99))/100))+5.0))))*100))/100))*0.96)),(((((MIN(($R11),99))/100))+5.0)/(1-(((MIN(($R11),99))/100))+5.0))))*100))/100))*0.96)),(((((MIN((R$10),99))/100))+5.0)/(1-(((MIN((R$10),99))/100))+5.0))))*100),0)</f>
        <v/>
      </c>
      <c r="S2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(43)/100))*0.96)),(((((MIN(($R26),99))/100))+5.0)/(1-(((MIN(($R26),99))/100))+5.0))))*100))/100))*0.96)),(((((MIN(($Q26),99))/100))+5.0)/(1-(((MIN(($Q26),99))/100))+5.0))))*100))/100))*0.96)),(((((MIN((P$26),99))/100))+5.0)/(1-(((MIN((P$26),99))/100))+5.0))))*100))/100))*0.96)),(((((MIN((O26),99))/100))+5.0)/(1-(((MIN((O26),99))/100))+5.0))))*100))/100))*0.96)),(((((MIN((N$26),99))/100))+5.0)/(1-(((MIN((N$26),99))/100))+5.0))))*100))/100))*0.96)),(((((MIN((M26),99))/100))+5.0)/(1-(((MIN((M26),99))/100))+5.0))))*100))/100))*0.96)),(((((MIN(($L$26),99))/100))+5.0)/(1-(((MIN(($L$26),99))/100))+5.0))))*100))/100))*0.96)),(((((MIN(($K$26),99))/100))+5.0)/(1-(((MIN(($K$26),99))/100))+5.0))))*100))/100))*0.96)),(((((MIN(($S25),99))/100))+5.0)/(1-(((MIN(($S25),99))/100))+5.0))))*100))/100))*0.96)),(((((MIN((S$24),99))/100))+5.0)/(1-(((MIN((S$24),99))/100))+5.0))))*100))/100))*0.96)),(((((MIN(($S$23),99))/100))+5.0)/(1-(((MIN(($S$23),99))/100))+5.0))))*100))/100))*0.96)),(((((MIN(($S22),99))/100))+5.0)/(1-(((MIN(($S22),99))/100))+5.0))))*100))/100))*0.96)),(((((MIN(($S$21),99))/100))+5.0)/(1-(((MIN(($S$21),99))/100))+5.0))))*100))/100))*0.96)),(((((MIN((S$20),99))/100))+5.0)/(1-(((MIN((S$20),99))/100))+5.0))))*100))/100))*0.96)),(((((MIN(($S$19),99))/100))+5.0)/(1-(((MIN(($S$19),99))/100))+5.0))))*100))/100))*0.96)),(((((MIN((S$18),99))/100))+5.0)/(1-(((MIN((S$18),99))/100))+5.0))))*100))/100))*0.96)),(((((MIN(($S$17),99))/100))+5.0)/(1-(((MIN(($S$17),99))/100))+5.0))))*100))/100))*0.96)),(((((MIN(($S$16),99))/100))+5.0)/(1-(((MIN(($S$16),99))/100))+5.0))))*100))/100))*0.96)),(((((MIN((S15),99))/100))+5.0)/(1-(((MIN((S15),99))/100))+5.0))))*100))/100))*0.96)),(((((MIN(($S14),99))/100))+5.0)/(1-(((MIN(($S14),99))/100))+5.0))))*100))/100))*0.96)),(((((MIN((S13),99))/100))+5.0)/(1-(((MIN((S13),99))/100))+5.0))))*100))/100))*0.96)),(((((MIN(($S$12),99))/100))+5.0)/(1-(((MIN(($S$12),99))/100))+5.0))))*100))/100))*0.96)),(((((MIN(($S$11),99))/100))+5.0)/(1-(((MIN(($S$11),99))/100))+5.0))))*100))/100))*0.96)),(((((MIN((S$10),99))/100))+5.0)/(1-(((MIN((S$10),99))/100))+5.0))))*100),0)</f>
        <v/>
      </c>
      <c r="T26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(48)/100))*0.96)),(((((MIN((S26),99))/100))+5.0)/(1-(((MIN((S26),99))/100))+5.0))))*100))/100))*0.96)),(((((MIN(($R$26),99))/100))+5.0)/(1-(((MIN(($R$26),99))/100))+5.0))))*100))/100))*0.96)),(((((MIN((Q$26),99))/100))+5.0)/(1-(((MIN((Q$26),99))/100))+5.0))))*100))/100))*0.96)),(((((MIN(($P$26),99))/100))+5.0)/(1-(((MIN(($P$26),99))/100))+5.0))))*100))/100))*0.96)),(((((MIN((O$26),99))/100))+5.0)/(1-(((MIN((O$26),99))/100))+5.0))))*100))/100))*0.96)),(((((MIN((N$26),99))/100))+5.0)/(1-(((MIN((N$26),99))/100))+5.0))))*100))/100))*0.96)),(((((MIN(($M26),99))/100))+5.0)/(1-(((MIN(($M26),99))/100))+5.0))))*100))/100))*0.96)),(((((MIN((L$26),99))/100))+5.0)/(1-(((MIN((L$26),99))/100))+5.0))))*100))/100))*0.96)),(((((MIN((T$25),99))/100))+5.0)/(1-(((MIN((T$25),99))/100))+5.0))))*100))/100))*0.96)),(((((MIN((T24),99))/100))+5.0)/(1-(((MIN((T24),99))/100))+5.0))))*100))/100))*0.96)),(((((MIN((T$23),99))/100))+5.0)/(1-(((MIN((T$23),99))/100))+5.0))))*100))/100))*0.96)),(((((MIN((T$22),99))/100))+5.0)/(1-(((MIN((T$22),99))/100))+5.0))))*100))/100))*0.96)),(((((MIN(($T21),99))/100))+5.0)/(1-(((MIN(($T21),99))/100))+5.0))))*100))/100))*0.96)),(((((MIN((T$20),99))/100))+5.0)/(1-(((MIN((T$20),99))/100))+5.0))))*100))/100))*0.96)),(((((MIN((T19),99))/100))+5.0)/(1-(((MIN((T19),99))/100))+5.0))))*100))/100))*0.96)),(((((MIN(($T18),99))/100))+5.0)/(1-(((MIN(($T18),99))/100))+5.0))))*100))/100))*0.96)),(((((MIN(($T$17),99))/100))+5.0)/(1-(((MIN(($T$17),99))/100))+5.0))))*100))/100))*0.96)),(((((MIN(($T16),99))/100))+5.0)/(1-(((MIN(($T16),99))/100))+5.0))))*100))/100))*0.96)),(((((MIN((T15),99))/100))+5.0)/(1-(((MIN((T15),99))/100))+5.0))))*100))/100))*0.96)),(((((MIN(($T14),99))/100))+5.0)/(1-(((MIN(($T14),99))/100))+5.0))))*100))/100))*0.96)),(((((MIN((T13),99))/100))+5.0)/(1-(((MIN((T13),99))/100))+5.0))))*100))/100))*0.96)),(((((MIN(($T12),99))/100))+5.0)/(1-(((MIN(($T12),99))/100))+5.0))))*100))/100))*0.96)),(((((MIN(($T11),99))/100))+5.0)/(1-(((MIN(($T11),99))/100))+5.0))))*100))/100))*0.96)),(((((MIN((T10),99))/100))+5.0)/(1-(((MIN((T10),99))/100))+5.0))))*100),0)</f>
        <v/>
      </c>
    </row>
    <row r="27">
      <c r="A2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(40)/100))*0.96)),(((((MIN((A26),99))/100))+5.0)/(1-(((MIN((A26),99))/100))+5.0))))*100))/100))*0.96)),(((((MIN((A$25),99))/100))+5.0)/(1-(((MIN((A$25),99))/100))+5.0))))*100))/100))*0.96)),(((((MIN((A24),99))/100))+5.0)/(1-(((MIN((A24),99))/100))+5.0))))*100))/100))*0.96)),(((((MIN(($A$23),99))/100))+5.0)/(1-(((MIN(($A$23),99))/100))+5.0))))*100))/100))*0.96)),(((((MIN((A22),99))/100))+5.0)/(1-(((MIN((A22),99))/100))+5.0))))*100))/100))*0.96)),(((((MIN(($A21),99))/100))+5.0)/(1-(((MIN(($A21),99))/100))+5.0))))*100))/100))*0.96)),(((((MIN((A$20),99))/100))+5.0)/(1-(((MIN((A$20),99))/100))+5.0))))*100))/100))*0.96)),(((((MIN(($A$19),99))/100))+5.0)/(1-(((MIN(($A$19),99))/100))+5.0))))*100))/100))*0.96)),(((((MIN((A$18),99))/100))+5.0)/(1-(((MIN((A$18),99))/100))+5.0))))*100))/100))*0.96)),(((((MIN(($A$17),99))/100))+5.0)/(1-(((MIN(($A$17),99))/100))+5.0))))*100))/100))*0.96)),(((((MIN((A$16),99))/100))+5.0)/(1-(((MIN((A$16),99))/100))+5.0))))*100))/100))*0.96)),(((((MIN((A$15),99))/100))+5.0)/(1-(((MIN((A$15),99))/100))+5.0))))*100))/100))*0.96)),(((((MIN((A14),99))/100))+5.0)/(1-(((MIN((A14),99))/100))+5.0))))*100))/100))*0.96)),(((((MIN(($A13),99))/100))+5.0)/(1-(((MIN(($A13),99))/100))+5.0))))*100))/100))*0.96)),(((((MIN((A12),99))/100))+5.0)/(1-(((MIN((A12),99))/100))+5.0))))*100))/100))*0.96)),(((((MIN((A$11),99))/100))+5.0)/(1-(((MIN((A$11),99))/100))+5.0))))*100),0)</f>
        <v/>
      </c>
      <c r="B2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(42)/100))*0.96)),(((((MIN((A$27),99))/100))+5.0)/(1-(((MIN((A$27),99))/100))+5.0))))*100))/100))*0.96)),(((((MIN(($B$26),99))/100))+5.0)/(1-(((MIN(($B$26),99))/100))+5.0))))*100))/100))*0.96)),(((((MIN(($B$25),99))/100))+5.0)/(1-(((MIN(($B$25),99))/100))+5.0))))*100))/100))*0.96)),(((((MIN(($B24),99))/100))+5.0)/(1-(((MIN(($B24),99))/100))+5.0))))*100))/100))*0.96)),(((((MIN(($B$23),99))/100))+5.0)/(1-(((MIN(($B$23),99))/100))+5.0))))*100))/100))*0.96)),(((((MIN(($B$22),99))/100))+5.0)/(1-(((MIN(($B$22),99))/100))+5.0))))*100))/100))*0.96)),(((((MIN((B21),99))/100))+5.0)/(1-(((MIN((B21),99))/100))+5.0))))*100))/100))*0.96)),(((((MIN(($B$20),99))/100))+5.0)/(1-(((MIN(($B$20),99))/100))+5.0))))*100))/100))*0.96)),(((((MIN(($B19),99))/100))+5.0)/(1-(((MIN(($B19),99))/100))+5.0))))*100))/100))*0.96)),(((((MIN((B$18),99))/100))+5.0)/(1-(((MIN((B$18),99))/100))+5.0))))*100))/100))*0.96)),(((((MIN((B17),99))/100))+5.0)/(1-(((MIN((B17),99))/100))+5.0))))*100))/100))*0.96)),(((((MIN(($B$16),99))/100))+5.0)/(1-(((MIN(($B$16),99))/100))+5.0))))*100))/100))*0.96)),(((((MIN((B$15),99))/100))+5.0)/(1-(((MIN((B$15),99))/100))+5.0))))*100))/100))*0.96)),(((((MIN((B14),99))/100))+5.0)/(1-(((MIN((B14),99))/100))+5.0))))*100))/100))*0.96)),(((((MIN(($B13),99))/100))+5.0)/(1-(((MIN(($B13),99))/100))+5.0))))*100))/100))*0.96)),(((((MIN(($B12),99))/100))+5.0)/(1-(((MIN(($B12),99))/100))+5.0))))*100))/100))*0.96)),(((((MIN((B11),99))/100))+5.0)/(1-(((MIN((B11),99))/100))+5.0))))*100),0)</f>
        <v/>
      </c>
      <c r="C2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(17)/100))*0.96)),(((((MIN(($B27),99))/100))+5.0)/(1-(((MIN(($B27),99))/100))+5.0))))*100))/100))*0.96)),(((((MIN((A27),99))/100))+5.0)/(1-(((MIN((A27),99))/100))+5.0))))*100))/100))*0.96)),(((((MIN(($C26),99))/100))+5.0)/(1-(((MIN(($C26),99))/100))+5.0))))*100))/100))*0.96)),(((((MIN((C$25),99))/100))+5.0)/(1-(((MIN((C$25),99))/100))+5.0))))*100))/100))*0.96)),(((((MIN((C$24),99))/100))+5.0)/(1-(((MIN((C$24),99))/100))+5.0))))*100))/100))*0.96)),(((((MIN(($C$23),99))/100))+5.0)/(1-(((MIN(($C$23),99))/100))+5.0))))*100))/100))*0.96)),(((((MIN(($C22),99))/100))+5.0)/(1-(((MIN(($C22),99))/100))+5.0))))*100))/100))*0.96)),(((((MIN(($C21),99))/100))+5.0)/(1-(((MIN(($C21),99))/100))+5.0))))*100))/100))*0.96)),(((((MIN((C20),99))/100))+5.0)/(1-(((MIN((C20),99))/100))+5.0))))*100))/100))*0.96)),(((((MIN((C$19),99))/100))+5.0)/(1-(((MIN((C$19),99))/100))+5.0))))*100))/100))*0.96)),(((((MIN(($C18),99))/100))+5.0)/(1-(((MIN(($C18),99))/100))+5.0))))*100))/100))*0.96)),(((((MIN(($C17),99))/100))+5.0)/(1-(((MIN(($C17),99))/100))+5.0))))*100))/100))*0.96)),(((((MIN(($C16),99))/100))+5.0)/(1-(((MIN(($C16),99))/100))+5.0))))*100))/100))*0.96)),(((((MIN((C$15),99))/100))+5.0)/(1-(((MIN((C$15),99))/100))+5.0))))*100))/100))*0.96)),(((((MIN((C$14),99))/100))+5.0)/(1-(((MIN((C$14),99))/100))+5.0))))*100))/100))*0.96)),(((((MIN((C13),99))/100))+5.0)/(1-(((MIN((C13),99))/100))+5.0))))*100))/100))*0.96)),(((((MIN((C12),99))/100))+5.0)/(1-(((MIN((C12),99))/100))+5.0))))*100))/100))*0.96)),(((((MIN((C$11),99))/100))+5.0)/(1-(((MIN((C$11),99))/100))+5.0))))*100),0)</f>
        <v/>
      </c>
      <c r="D2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(41)/100))*0.96)),(((((MIN((C27),99))/100))+5.0)/(1-(((MIN((C27),99))/100))+5.0))))*100))/100))*0.96)),(((((MIN(($B27),99))/100))+5.0)/(1-(((MIN(($B27),99))/100))+5.0))))*100))/100))*0.96)),(((((MIN((A$27),99))/100))+5.0)/(1-(((MIN((A$27),99))/100))+5.0))))*100))/100))*0.96)),(((((MIN(($D$26),99))/100))+5.0)/(1-(((MIN(($D$26),99))/100))+5.0))))*100))/100))*0.96)),(((((MIN(($D$25),99))/100))+5.0)/(1-(((MIN(($D$25),99))/100))+5.0))))*100))/100))*0.96)),(((((MIN((D24),99))/100))+5.0)/(1-(((MIN((D24),99))/100))+5.0))))*100))/100))*0.96)),(((((MIN((D23),99))/100))+5.0)/(1-(((MIN((D23),99))/100))+5.0))))*100))/100))*0.96)),(((((MIN(($D22),99))/100))+5.0)/(1-(((MIN(($D22),99))/100))+5.0))))*100))/100))*0.96)),(((((MIN((D21),99))/100))+5.0)/(1-(((MIN((D21),99))/100))+5.0))))*100))/100))*0.96)),(((((MIN(($D$20),99))/100))+5.0)/(1-(((MIN(($D$20),99))/100))+5.0))))*100))/100))*0.96)),(((((MIN(($D19),99))/100))+5.0)/(1-(((MIN(($D19),99))/100))+5.0))))*100))/100))*0.96)),(((((MIN((D18),99))/100))+5.0)/(1-(((MIN((D18),99))/100))+5.0))))*100))/100))*0.96)),(((((MIN(($D17),99))/100))+5.0)/(1-(((MIN(($D17),99))/100))+5.0))))*100))/100))*0.96)),(((((MIN(($D16),99))/100))+5.0)/(1-(((MIN(($D16),99))/100))+5.0))))*100))/100))*0.96)),(((((MIN(($D15),99))/100))+5.0)/(1-(((MIN(($D15),99))/100))+5.0))))*100))/100))*0.96)),(((((MIN((D14),99))/100))+5.0)/(1-(((MIN((D14),99))/100))+5.0))))*100))/100))*0.96)),(((((MIN((D$13),99))/100))+5.0)/(1-(((MIN((D$13),99))/100))+5.0))))*100))/100))*0.96)),(((((MIN((D$12),99))/100))+5.0)/(1-(((MIN((D$12),99))/100))+5.0))))*100))/100))*0.96)),(((((MIN((D11),99))/100))+5.0)/(1-(((MIN((D11),99))/100))+5.0))))*100),0)</f>
        <v/>
      </c>
      <c r="E2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(42)/100))*0.96)),(((((MIN((D$27),99))/100))+5.0)/(1-(((MIN((D$27),99))/100))+5.0))))*100))/100))*0.96)),(((((MIN((C$27),99))/100))+5.0)/(1-(((MIN((C$27),99))/100))+5.0))))*100))/100))*0.96)),(((((MIN(($B27),99))/100))+5.0)/(1-(((MIN(($B27),99))/100))+5.0))))*100))/100))*0.96)),(((((MIN(($A27),99))/100))+5.0)/(1-(((MIN(($A27),99))/100))+5.0))))*100))/100))*0.96)),(((((MIN((E26),99))/100))+5.0)/(1-(((MIN((E26),99))/100))+5.0))))*100))/100))*0.96)),(((((MIN((E$25),99))/100))+5.0)/(1-(((MIN((E$25),99))/100))+5.0))))*100))/100))*0.96)),(((((MIN((E24),99))/100))+5.0)/(1-(((MIN((E24),99))/100))+5.0))))*100))/100))*0.96)),(((((MIN(($E$23),99))/100))+5.0)/(1-(((MIN(($E$23),99))/100))+5.0))))*100))/100))*0.96)),(((((MIN((E$22),99))/100))+5.0)/(1-(((MIN((E$22),99))/100))+5.0))))*100))/100))*0.96)),(((((MIN(($E21),99))/100))+5.0)/(1-(((MIN(($E21),99))/100))+5.0))))*100))/100))*0.96)),(((((MIN((E20),99))/100))+5.0)/(1-(((MIN((E20),99))/100))+5.0))))*100))/100))*0.96)),(((((MIN(($E$19),99))/100))+5.0)/(1-(((MIN(($E$19),99))/100))+5.0))))*100))/100))*0.96)),(((((MIN((E$18),99))/100))+5.0)/(1-(((MIN((E$18),99))/100))+5.0))))*100))/100))*0.96)),(((((MIN(($E17),99))/100))+5.0)/(1-(((MIN(($E17),99))/100))+5.0))))*100))/100))*0.96)),(((((MIN((E16),99))/100))+5.0)/(1-(((MIN((E16),99))/100))+5.0))))*100))/100))*0.96)),(((((MIN(($E$15),99))/100))+5.0)/(1-(((MIN(($E$15),99))/100))+5.0))))*100))/100))*0.96)),(((((MIN((E14),99))/100))+5.0)/(1-(((MIN((E14),99))/100))+5.0))))*100))/100))*0.96)),(((((MIN((E$13),99))/100))+5.0)/(1-(((MIN((E$13),99))/100))+5.0))))*100))/100))*0.96)),(((((MIN(($E12),99))/100))+5.0)/(1-(((MIN(($E12),99))/100))+5.0))))*100))/100))*0.96)),(((((MIN(($E$11),99))/100))+5.0)/(1-(((MIN(($E$11),99))/100))+5.0))))*100),0)</f>
        <v/>
      </c>
      <c r="F2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(64)/100))*0.96)),(((((MIN(($E27),99))/100))+5.0)/(1-(((MIN(($E27),99))/100))+5.0))))*100))/100))*0.96)),(((((MIN((D$27),99))/100))+5.0)/(1-(((MIN((D$27),99))/100))+5.0))))*100))/100))*0.96)),(((((MIN((C$27),99))/100))+5.0)/(1-(((MIN((C$27),99))/100))+5.0))))*100))/100))*0.96)),(((((MIN((B$27),99))/100))+5.0)/(1-(((MIN((B$27),99))/100))+5.0))))*100))/100))*0.96)),(((((MIN(($A27),99))/100))+5.0)/(1-(((MIN(($A27),99))/100))+5.0))))*100))/100))*0.96)),(((((MIN(($F26),99))/100))+5.0)/(1-(((MIN(($F26),99))/100))+5.0))))*100))/100))*0.96)),(((((MIN(($F$25),99))/100))+5.0)/(1-(((MIN(($F$25),99))/100))+5.0))))*100))/100))*0.96)),(((((MIN(($F24),99))/100))+5.0)/(1-(((MIN(($F24),99))/100))+5.0))))*100))/100))*0.96)),(((((MIN(($F23),99))/100))+5.0)/(1-(((MIN(($F23),99))/100))+5.0))))*100))/100))*0.96)),(((((MIN((F$22),99))/100))+5.0)/(1-(((MIN((F$22),99))/100))+5.0))))*100))/100))*0.96)),(((((MIN(($F21),99))/100))+5.0)/(1-(((MIN(($F21),99))/100))+5.0))))*100))/100))*0.96)),(((((MIN((F20),99))/100))+5.0)/(1-(((MIN((F20),99))/100))+5.0))))*100))/100))*0.96)),(((((MIN((F19),99))/100))+5.0)/(1-(((MIN((F19),99))/100))+5.0))))*100))/100))*0.96)),(((((MIN(($F$18),99))/100))+5.0)/(1-(((MIN(($F$18),99))/100))+5.0))))*100))/100))*0.96)),(((((MIN((F$17),99))/100))+5.0)/(1-(((MIN((F$17),99))/100))+5.0))))*100))/100))*0.96)),(((((MIN(($F16),99))/100))+5.0)/(1-(((MIN(($F16),99))/100))+5.0))))*100))/100))*0.96)),(((((MIN(($F15),99))/100))+5.0)/(1-(((MIN(($F15),99))/100))+5.0))))*100))/100))*0.96)),(((((MIN((F14),99))/100))+5.0)/(1-(((MIN((F14),99))/100))+5.0))))*100))/100))*0.96)),(((((MIN((F13),99))/100))+5.0)/(1-(((MIN((F13),99))/100))+5.0))))*100))/100))*0.96)),(((((MIN(($F$12),99))/100))+5.0)/(1-(((MIN(($F$12),99))/100))+5.0))))*100))/100))*0.96)),(((((MIN(($F$11),99))/100))+5.0)/(1-(((MIN(($F$11),99))/100))+5.0))))*100),0)</f>
        <v/>
      </c>
      <c r="G2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(80)/100))*0.96)),(((((MIN(($F$27),99))/100))+5.0)/(1-(((MIN(($F$27),99))/100))+5.0))))*100))/100))*0.96)),(((((MIN(($E$27),99))/100))+5.0)/(1-(((MIN(($E$27),99))/100))+5.0))))*100))/100))*0.96)),(((((MIN(($D27),99))/100))+5.0)/(1-(((MIN(($D27),99))/100))+5.0))))*100))/100))*0.96)),(((((MIN(($C$27),99))/100))+5.0)/(1-(((MIN(($C$27),99))/100))+5.0))))*100))/100))*0.96)),(((((MIN((B$27),99))/100))+5.0)/(1-(((MIN((B$27),99))/100))+5.0))))*100))/100))*0.96)),(((((MIN((A27),99))/100))+5.0)/(1-(((MIN((A27),99))/100))+5.0))))*100))/100))*0.96)),(((((MIN((G$26),99))/100))+5.0)/(1-(((MIN((G$26),99))/100))+5.0))))*100))/100))*0.96)),(((((MIN(($G25),99))/100))+5.0)/(1-(((MIN(($G25),99))/100))+5.0))))*100))/100))*0.96)),(((((MIN((G$24),99))/100))+5.0)/(1-(((MIN((G$24),99))/100))+5.0))))*100))/100))*0.96)),(((((MIN(($G$23),99))/100))+5.0)/(1-(((MIN(($G$23),99))/100))+5.0))))*100))/100))*0.96)),(((((MIN(($G22),99))/100))+5.0)/(1-(((MIN(($G22),99))/100))+5.0))))*100))/100))*0.96)),(((((MIN((G$21),99))/100))+5.0)/(1-(((MIN((G$21),99))/100))+5.0))))*100))/100))*0.96)),(((((MIN(($G$20),99))/100))+5.0)/(1-(((MIN(($G$20),99))/100))+5.0))))*100))/100))*0.96)),(((((MIN(($G$19),99))/100))+5.0)/(1-(((MIN(($G$19),99))/100))+5.0))))*100))/100))*0.96)),(((((MIN(($G18),99))/100))+5.0)/(1-(((MIN(($G18),99))/100))+5.0))))*100))/100))*0.96)),(((((MIN((G17),99))/100))+5.0)/(1-(((MIN((G17),99))/100))+5.0))))*100))/100))*0.96)),(((((MIN((G16),99))/100))+5.0)/(1-(((MIN((G16),99))/100))+5.0))))*100))/100))*0.96)),(((((MIN(($G$15),99))/100))+5.0)/(1-(((MIN(($G$15),99))/100))+5.0))))*100))/100))*0.96)),(((((MIN((G$14),99))/100))+5.0)/(1-(((MIN((G$14),99))/100))+5.0))))*100))/100))*0.96)),(((((MIN((G13),99))/100))+5.0)/(1-(((MIN((G13),99))/100))+5.0))))*100))/100))*0.96)),(((((MIN((G12),99))/100))+5.0)/(1-(((MIN((G12),99))/100))+5.0))))*100))/100))*0.96)),(((((MIN((G11),99))/100))+5.0)/(1-(((MIN((G11),99))/100))+5.0))))*100),0)</f>
        <v/>
      </c>
      <c r="H2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(31)/100))*0.96)),(((((MIN((G$27),99))/100))+5.0)/(1-(((MIN((G$27),99))/100))+5.0))))*100))/100))*0.96)),(((((MIN(($F$27),99))/100))+5.0)/(1-(((MIN(($F$27),99))/100))+5.0))))*100))/100))*0.96)),(((((MIN(($E$27),99))/100))+5.0)/(1-(((MIN(($E$27),99))/100))+5.0))))*100))/100))*0.96)),(((((MIN((D27),99))/100))+5.0)/(1-(((MIN((D27),99))/100))+5.0))))*100))/100))*0.96)),(((((MIN(($C27),99))/100))+5.0)/(1-(((MIN(($C27),99))/100))+5.0))))*100))/100))*0.96)),(((((MIN(($B27),99))/100))+5.0)/(1-(((MIN(($B27),99))/100))+5.0))))*100))/100))*0.96)),(((((MIN((A27),99))/100))+5.0)/(1-(((MIN((A27),99))/100))+5.0))))*100))/100))*0.96)),(((((MIN(($H26),99))/100))+5.0)/(1-(((MIN(($H26),99))/100))+5.0))))*100))/100))*0.96)),(((((MIN((H$25),99))/100))+5.0)/(1-(((MIN((H$25),99))/100))+5.0))))*100))/100))*0.96)),(((((MIN(($H24),99))/100))+5.0)/(1-(((MIN(($H24),99))/100))+5.0))))*100))/100))*0.96)),(((((MIN((H23),99))/100))+5.0)/(1-(((MIN((H23),99))/100))+5.0))))*100))/100))*0.96)),(((((MIN((H22),99))/100))+5.0)/(1-(((MIN((H22),99))/100))+5.0))))*100))/100))*0.96)),(((((MIN(($H$21),99))/100))+5.0)/(1-(((MIN(($H$21),99))/100))+5.0))))*100))/100))*0.96)),(((((MIN((H$20),99))/100))+5.0)/(1-(((MIN((H$20),99))/100))+5.0))))*100))/100))*0.96)),(((((MIN((H$19),99))/100))+5.0)/(1-(((MIN((H$19),99))/100))+5.0))))*100))/100))*0.96)),(((((MIN((H18),99))/100))+5.0)/(1-(((MIN((H18),99))/100))+5.0))))*100))/100))*0.96)),(((((MIN(($H$17),99))/100))+5.0)/(1-(((MIN(($H$17),99))/100))+5.0))))*100))/100))*0.96)),(((((MIN(($H$16),99))/100))+5.0)/(1-(((MIN(($H$16),99))/100))+5.0))))*100))/100))*0.96)),(((((MIN((H15),99))/100))+5.0)/(1-(((MIN((H15),99))/100))+5.0))))*100))/100))*0.96)),(((((MIN((H14),99))/100))+5.0)/(1-(((MIN((H14),99))/100))+5.0))))*100))/100))*0.96)),(((((MIN((H$13),99))/100))+5.0)/(1-(((MIN((H$13),99))/100))+5.0))))*100))/100))*0.96)),(((((MIN((H12),99))/100))+5.0)/(1-(((MIN((H12),99))/100))+5.0))))*100))/100))*0.96)),(((((MIN(($H$11),99))/100))+5.0)/(1-(((MIN(($H$11),99))/100))+5.0))))*100),0)</f>
        <v/>
      </c>
      <c r="I2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(19)/100))*0.96)),(((((MIN((H$27),99))/100))+5.0)/(1-(((MIN((H$27),99))/100))+5.0))))*100))/100))*0.96)),(((((MIN(($G27),99))/100))+5.0)/(1-(((MIN(($G27),99))/100))+5.0))))*100))/100))*0.96)),(((((MIN(($F27),99))/100))+5.0)/(1-(((MIN(($F27),99))/100))+5.0))))*100))/100))*0.96)),(((((MIN(($E27),99))/100))+5.0)/(1-(((MIN(($E27),99))/100))+5.0))))*100))/100))*0.96)),(((((MIN(($D$27),99))/100))+5.0)/(1-(((MIN(($D$27),99))/100))+5.0))))*100))/100))*0.96)),(((((MIN(($C27),99))/100))+5.0)/(1-(((MIN(($C27),99))/100))+5.0))))*100))/100))*0.96)),(((((MIN(($B$27),99))/100))+5.0)/(1-(((MIN(($B$27),99))/100))+5.0))))*100))/100))*0.96)),(((((MIN((A27),99))/100))+5.0)/(1-(((MIN((A27),99))/100))+5.0))))*100))/100))*0.96)),(((((MIN(($I$26),99))/100))+5.0)/(1-(((MIN(($I$26),99))/100))+5.0))))*100))/100))*0.96)),(((((MIN(($I25),99))/100))+5.0)/(1-(((MIN(($I25),99))/100))+5.0))))*100))/100))*0.96)),(((((MIN(($I$24),99))/100))+5.0)/(1-(((MIN(($I$24),99))/100))+5.0))))*100))/100))*0.96)),(((((MIN((I$23),99))/100))+5.0)/(1-(((MIN((I$23),99))/100))+5.0))))*100))/100))*0.96)),(((((MIN(($I$22),99))/100))+5.0)/(1-(((MIN(($I$22),99))/100))+5.0))))*100))/100))*0.96)),(((((MIN((I21),99))/100))+5.0)/(1-(((MIN((I21),99))/100))+5.0))))*100))/100))*0.96)),(((((MIN((I20),99))/100))+5.0)/(1-(((MIN((I20),99))/100))+5.0))))*100))/100))*0.96)),(((((MIN((I$19),99))/100))+5.0)/(1-(((MIN((I$19),99))/100))+5.0))))*100))/100))*0.96)),(((((MIN(($I$18),99))/100))+5.0)/(1-(((MIN(($I$18),99))/100))+5.0))))*100))/100))*0.96)),(((((MIN((I$17),99))/100))+5.0)/(1-(((MIN((I$17),99))/100))+5.0))))*100))/100))*0.96)),(((((MIN((I16),99))/100))+5.0)/(1-(((MIN((I16),99))/100))+5.0))))*100))/100))*0.96)),(((((MIN(($I$15),99))/100))+5.0)/(1-(((MIN(($I$15),99))/100))+5.0))))*100))/100))*0.96)),(((((MIN(($I14),99))/100))+5.0)/(1-(((MIN(($I14),99))/100))+5.0))))*100))/100))*0.96)),(((((MIN(($I$13),99))/100))+5.0)/(1-(((MIN(($I$13),99))/100))+5.0))))*100))/100))*0.96)),(((((MIN((I$12),99))/100))+5.0)/(1-(((MIN((I$12),99))/100))+5.0))))*100))/100))*0.96)),(((((MIN(($I$11),99))/100))+5.0)/(1-(((MIN(($I$11),99))/100))+5.0))))*100),0)</f>
        <v/>
      </c>
      <c r="J2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(52)/100))*0.96)),(((((MIN(($I$27),99))/100))+5.0)/(1-(((MIN(($I$27),99))/100))+5.0))))*100))/100))*0.96)),(((((MIN((H$27),99))/100))+5.0)/(1-(((MIN((H$27),99))/100))+5.0))))*100))/100))*0.96)),(((((MIN(($G27),99))/100))+5.0)/(1-(((MIN(($G27),99))/100))+5.0))))*100))/100))*0.96)),(((((MIN((F27),99))/100))+5.0)/(1-(((MIN((F27),99))/100))+5.0))))*100))/100))*0.96)),(((((MIN(($E27),99))/100))+5.0)/(1-(((MIN(($E27),99))/100))+5.0))))*100))/100))*0.96)),(((((MIN((D$27),99))/100))+5.0)/(1-(((MIN((D$27),99))/100))+5.0))))*100))/100))*0.96)),(((((MIN((C27),99))/100))+5.0)/(1-(((MIN((C27),99))/100))+5.0))))*100))/100))*0.96)),(((((MIN((B$27),99))/100))+5.0)/(1-(((MIN((B$27),99))/100))+5.0))))*100))/100))*0.96)),(((((MIN((J26),99))/100))+5.0)/(1-(((MIN((J26),99))/100))+5.0))))*100))/100))*0.96)),(((((MIN((J25),99))/100))+5.0)/(1-(((MIN((J25),99))/100))+5.0))))*100))/100))*0.96)),(((((MIN((J24),99))/100))+5.0)/(1-(((MIN((J24),99))/100))+5.0))))*100))/100))*0.96)),(((((MIN((J$23),99))/100))+5.0)/(1-(((MIN((J$23),99))/100))+5.0))))*100))/100))*0.96)),(((((MIN((J22),99))/100))+5.0)/(1-(((MIN((J22),99))/100))+5.0))))*100))/100))*0.96)),(((((MIN(($J21),99))/100))+5.0)/(1-(((MIN(($J21),99))/100))+5.0))))*100))/100))*0.96)),(((((MIN((J20),99))/100))+5.0)/(1-(((MIN((J20),99))/100))+5.0))))*100))/100))*0.96)),(((((MIN(($J$19),99))/100))+5.0)/(1-(((MIN(($J$19),99))/100))+5.0))))*100))/100))*0.96)),(((((MIN((J$18),99))/100))+5.0)/(1-(((MIN((J$18),99))/100))+5.0))))*100))/100))*0.96)),(((((MIN((J$17),99))/100))+5.0)/(1-(((MIN((J$17),99))/100))+5.0))))*100))/100))*0.96)),(((((MIN((J$16),99))/100))+5.0)/(1-(((MIN((J$16),99))/100))+5.0))))*100))/100))*0.96)),(((((MIN(($J15),99))/100))+5.0)/(1-(((MIN(($J15),99))/100))+5.0))))*100))/100))*0.96)),(((((MIN((J$14),99))/100))+5.0)/(1-(((MIN((J$14),99))/100))+5.0))))*100))/100))*0.96)),(((((MIN(($J13),99))/100))+5.0)/(1-(((MIN(($J13),99))/100))+5.0))))*100))/100))*0.96)),(((((MIN(($J12),99))/100))+5.0)/(1-(((MIN(($J12),99))/100))+5.0))))*100))/100))*0.96)),(((((MIN((J$11),99))/100))+5.0)/(1-(((MIN((J$11),99))/100))+5.0))))*100),0)</f>
        <v/>
      </c>
      <c r="K2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(71)/100))*0.96)),(((((MIN(($J$27),99))/100))+5.0)/(1-(((MIN(($J$27),99))/100))+5.0))))*100))/100))*0.96)),(((((MIN((I27),99))/100))+5.0)/(1-(((MIN((I27),99))/100))+5.0))))*100))/100))*0.96)),(((((MIN((H27),99))/100))+5.0)/(1-(((MIN((H27),99))/100))+5.0))))*100))/100))*0.96)),(((((MIN((G27),99))/100))+5.0)/(1-(((MIN((G27),99))/100))+5.0))))*100))/100))*0.96)),(((((MIN(($F$27),99))/100))+5.0)/(1-(((MIN(($F$27),99))/100))+5.0))))*100))/100))*0.96)),(((((MIN(($E$27),99))/100))+5.0)/(1-(((MIN(($E$27),99))/100))+5.0))))*100))/100))*0.96)),(((((MIN((D27),99))/100))+5.0)/(1-(((MIN((D27),99))/100))+5.0))))*100))/100))*0.96)),(((((MIN((C$27),99))/100))+5.0)/(1-(((MIN((C$27),99))/100))+5.0))))*100))/100))*0.96)),(((((MIN((K26),99))/100))+5.0)/(1-(((MIN((K26),99))/100))+5.0))))*100))/100))*0.96)),(((((MIN((K$25),99))/100))+5.0)/(1-(((MIN((K$25),99))/100))+5.0))))*100))/100))*0.96)),(((((MIN((K24),99))/100))+5.0)/(1-(((MIN((K24),99))/100))+5.0))))*100))/100))*0.96)),(((((MIN((K23),99))/100))+5.0)/(1-(((MIN((K23),99))/100))+5.0))))*100))/100))*0.96)),(((((MIN(($K22),99))/100))+5.0)/(1-(((MIN(($K22),99))/100))+5.0))))*100))/100))*0.96)),(((((MIN((K$21),99))/100))+5.0)/(1-(((MIN((K$21),99))/100))+5.0))))*100))/100))*0.96)),(((((MIN((K$20),99))/100))+5.0)/(1-(((MIN((K$20),99))/100))+5.0))))*100))/100))*0.96)),(((((MIN(($K19),99))/100))+5.0)/(1-(((MIN(($K19),99))/100))+5.0))))*100))/100))*0.96)),(((((MIN(($K$18),99))/100))+5.0)/(1-(((MIN(($K$18),99))/100))+5.0))))*100))/100))*0.96)),(((((MIN(($K17),99))/100))+5.0)/(1-(((MIN(($K17),99))/100))+5.0))))*100))/100))*0.96)),(((((MIN(($K$16),99))/100))+5.0)/(1-(((MIN(($K$16),99))/100))+5.0))))*100))/100))*0.96)),(((((MIN(($K$15),99))/100))+5.0)/(1-(((MIN(($K$15),99))/100))+5.0))))*100))/100))*0.96)),(((((MIN((K$14),99))/100))+5.0)/(1-(((MIN((K$14),99))/100))+5.0))))*100))/100))*0.96)),(((((MIN((K$13),99))/100))+5.0)/(1-(((MIN((K$13),99))/100))+5.0))))*100))/100))*0.96)),(((((MIN((K12),99))/100))+5.0)/(1-(((MIN((K12),99))/100))+5.0))))*100))/100))*0.96)),(((((MIN(($K11),99))/100))+5.0)/(1-(((MIN(($K11),99))/100))+5.0))))*100),0)</f>
        <v/>
      </c>
      <c r="L2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(24)/100))*0.96)),(((((MIN((K$27),99))/100))+5.0)/(1-(((MIN((K$27),99))/100))+5.0))))*100))/100))*0.96)),(((((MIN(($J27),99))/100))+5.0)/(1-(((MIN(($J27),99))/100))+5.0))))*100))/100))*0.96)),(((((MIN(($I$27),99))/100))+5.0)/(1-(((MIN(($I$27),99))/100))+5.0))))*100))/100))*0.96)),(((((MIN(($H$27),99))/100))+5.0)/(1-(((MIN(($H$27),99))/100))+5.0))))*100))/100))*0.96)),(((((MIN((G$27),99))/100))+5.0)/(1-(((MIN((G$27),99))/100))+5.0))))*100))/100))*0.96)),(((((MIN((F27),99))/100))+5.0)/(1-(((MIN((F27),99))/100))+5.0))))*100))/100))*0.96)),(((((MIN(($E$27),99))/100))+5.0)/(1-(((MIN(($E$27),99))/100))+5.0))))*100))/100))*0.96)),(((((MIN((D$27),99))/100))+5.0)/(1-(((MIN((D$27),99))/100))+5.0))))*100))/100))*0.96)),(((((MIN(($L26),99))/100))+5.0)/(1-(((MIN(($L26),99))/100))+5.0))))*100))/100))*0.96)),(((((MIN((L$25),99))/100))+5.0)/(1-(((MIN((L$25),99))/100))+5.0))))*100))/100))*0.96)),(((((MIN(($L24),99))/100))+5.0)/(1-(((MIN(($L24),99))/100))+5.0))))*100))/100))*0.96)),(((((MIN((L$23),99))/100))+5.0)/(1-(((MIN((L$23),99))/100))+5.0))))*100))/100))*0.96)),(((((MIN(($L$22),99))/100))+5.0)/(1-(((MIN(($L$22),99))/100))+5.0))))*100))/100))*0.96)),(((((MIN(($L$21),99))/100))+5.0)/(1-(((MIN(($L$21),99))/100))+5.0))))*100))/100))*0.96)),(((((MIN((L20),99))/100))+5.0)/(1-(((MIN((L20),99))/100))+5.0))))*100))/100))*0.96)),(((((MIN((L$19),99))/100))+5.0)/(1-(((MIN((L$19),99))/100))+5.0))))*100))/100))*0.96)),(((((MIN(($L$18),99))/100))+5.0)/(1-(((MIN(($L$18),99))/100))+5.0))))*100))/100))*0.96)),(((((MIN(($L$17),99))/100))+5.0)/(1-(((MIN(($L$17),99))/100))+5.0))))*100))/100))*0.96)),(((((MIN(($L16),99))/100))+5.0)/(1-(((MIN(($L16),99))/100))+5.0))))*100))/100))*0.96)),(((((MIN((L$15),99))/100))+5.0)/(1-(((MIN((L$15),99))/100))+5.0))))*100))/100))*0.96)),(((((MIN(($L14),99))/100))+5.0)/(1-(((MIN(($L14),99))/100))+5.0))))*100))/100))*0.96)),(((((MIN((L13),99))/100))+5.0)/(1-(((MIN((L13),99))/100))+5.0))))*100))/100))*0.96)),(((((MIN((L12),99))/100))+5.0)/(1-(((MIN((L12),99))/100))+5.0))))*100))/100))*0.96)),(((((MIN((L$11),99))/100))+5.0)/(1-(((MIN((L$11),99))/100))+5.0))))*100),0)</f>
        <v/>
      </c>
      <c r="M2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(19)/100))*0.96)),(((((MIN(($L$27),99))/100))+5.0)/(1-(((MIN(($L$27),99))/100))+5.0))))*100))/100))*0.96)),(((((MIN(($K27),99))/100))+5.0)/(1-(((MIN(($K27),99))/100))+5.0))))*100))/100))*0.96)),(((((MIN((J$27),99))/100))+5.0)/(1-(((MIN((J$27),99))/100))+5.0))))*100))/100))*0.96)),(((((MIN(($I27),99))/100))+5.0)/(1-(((MIN(($I27),99))/100))+5.0))))*100))/100))*0.96)),(((((MIN((H$27),99))/100))+5.0)/(1-(((MIN((H$27),99))/100))+5.0))))*100))/100))*0.96)),(((((MIN(($G27),99))/100))+5.0)/(1-(((MIN(($G27),99))/100))+5.0))))*100))/100))*0.96)),(((((MIN(($F27),99))/100))+5.0)/(1-(((MIN(($F27),99))/100))+5.0))))*100))/100))*0.96)),(((((MIN(($E27),99))/100))+5.0)/(1-(((MIN(($E27),99))/100))+5.0))))*100))/100))*0.96)),(((((MIN(($M26),99))/100))+5.0)/(1-(((MIN(($M26),99))/100))+5.0))))*100))/100))*0.96)),(((((MIN((M25),99))/100))+5.0)/(1-(((MIN((M25),99))/100))+5.0))))*100))/100))*0.96)),(((((MIN(($M24),99))/100))+5.0)/(1-(((MIN(($M24),99))/100))+5.0))))*100))/100))*0.96)),(((((MIN(($M23),99))/100))+5.0)/(1-(((MIN(($M23),99))/100))+5.0))))*100))/100))*0.96)),(((((MIN(($M22),99))/100))+5.0)/(1-(((MIN(($M22),99))/100))+5.0))))*100))/100))*0.96)),(((((MIN((M21),99))/100))+5.0)/(1-(((MIN((M21),99))/100))+5.0))))*100))/100))*0.96)),(((((MIN(($M$20),99))/100))+5.0)/(1-(((MIN(($M$20),99))/100))+5.0))))*100))/100))*0.96)),(((((MIN((M19),99))/100))+5.0)/(1-(((MIN((M19),99))/100))+5.0))))*100))/100))*0.96)),(((((MIN((M18),99))/100))+5.0)/(1-(((MIN((M18),99))/100))+5.0))))*100))/100))*0.96)),(((((MIN((M$17),99))/100))+5.0)/(1-(((MIN((M$17),99))/100))+5.0))))*100))/100))*0.96)),(((((MIN((M$16),99))/100))+5.0)/(1-(((MIN((M$16),99))/100))+5.0))))*100))/100))*0.96)),(((((MIN((M$15),99))/100))+5.0)/(1-(((MIN((M$15),99))/100))+5.0))))*100))/100))*0.96)),(((((MIN((M$14),99))/100))+5.0)/(1-(((MIN((M$14),99))/100))+5.0))))*100))/100))*0.96)),(((((MIN(($M$13),99))/100))+5.0)/(1-(((MIN(($M$13),99))/100))+5.0))))*100))/100))*0.96)),(((((MIN(($M$12),99))/100))+5.0)/(1-(((MIN(($M$12),99))/100))+5.0))))*100))/100))*0.96)),(((((MIN((M11),99))/100))+5.0)/(1-(((MIN((M11),99))/100))+5.0))))*100),0)</f>
        <v/>
      </c>
      <c r="N2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(9)/100))*0.96)),(((((MIN(($M27),99))/100))+5.0)/(1-(((MIN(($M27),99))/100))+5.0))))*100))/100))*0.96)),(((((MIN(($L$27),99))/100))+5.0)/(1-(((MIN(($L$27),99))/100))+5.0))))*100))/100))*0.96)),(((((MIN((K27),99))/100))+5.0)/(1-(((MIN((K27),99))/100))+5.0))))*100))/100))*0.96)),(((((MIN(($J27),99))/100))+5.0)/(1-(((MIN(($J27),99))/100))+5.0))))*100))/100))*0.96)),(((((MIN(($I$27),99))/100))+5.0)/(1-(((MIN(($I$27),99))/100))+5.0))))*100))/100))*0.96)),(((((MIN((H27),99))/100))+5.0)/(1-(((MIN((H27),99))/100))+5.0))))*100))/100))*0.96)),(((((MIN(($G27),99))/100))+5.0)/(1-(((MIN(($G27),99))/100))+5.0))))*100))/100))*0.96)),(((((MIN((F27),99))/100))+5.0)/(1-(((MIN((F27),99))/100))+5.0))))*100))/100))*0.96)),(((((MIN((N$26),99))/100))+5.0)/(1-(((MIN((N$26),99))/100))+5.0))))*100))/100))*0.96)),(((((MIN(($N25),99))/100))+5.0)/(1-(((MIN(($N25),99))/100))+5.0))))*100))/100))*0.96)),(((((MIN((N24),99))/100))+5.0)/(1-(((MIN((N24),99))/100))+5.0))))*100))/100))*0.96)),(((((MIN(($N23),99))/100))+5.0)/(1-(((MIN(($N23),99))/100))+5.0))))*100))/100))*0.96)),(((((MIN((N$22),99))/100))+5.0)/(1-(((MIN((N$22),99))/100))+5.0))))*100))/100))*0.96)),(((((MIN(($N$21),99))/100))+5.0)/(1-(((MIN(($N$21),99))/100))+5.0))))*100))/100))*0.96)),(((((MIN((N$20),99))/100))+5.0)/(1-(((MIN((N$20),99))/100))+5.0))))*100))/100))*0.96)),(((((MIN(($N19),99))/100))+5.0)/(1-(((MIN(($N19),99))/100))+5.0))))*100))/100))*0.96)),(((((MIN(($N18),99))/100))+5.0)/(1-(((MIN(($N18),99))/100))+5.0))))*100))/100))*0.96)),(((((MIN(($N17),99))/100))+5.0)/(1-(((MIN(($N17),99))/100))+5.0))))*100))/100))*0.96)),(((((MIN(($N16),99))/100))+5.0)/(1-(((MIN(($N16),99))/100))+5.0))))*100))/100))*0.96)),(((((MIN(($N$15),99))/100))+5.0)/(1-(((MIN(($N$15),99))/100))+5.0))))*100))/100))*0.96)),(((((MIN((N$14),99))/100))+5.0)/(1-(((MIN((N$14),99))/100))+5.0))))*100))/100))*0.96)),(((((MIN((N$13),99))/100))+5.0)/(1-(((MIN((N$13),99))/100))+5.0))))*100))/100))*0.96)),(((((MIN((N$12),99))/100))+5.0)/(1-(((MIN((N$12),99))/100))+5.0))))*100))/100))*0.96)),(((((MIN((N11),99))/100))+5.0)/(1-(((MIN((N11),99))/100))+5.0))))*100),0)</f>
        <v/>
      </c>
      <c r="O2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(28)/100))*0.96)),(((((MIN((N$27),99))/100))+5.0)/(1-(((MIN((N$27),99))/100))+5.0))))*100))/100))*0.96)),(((((MIN(($M$27),99))/100))+5.0)/(1-(((MIN(($M$27),99))/100))+5.0))))*100))/100))*0.96)),(((((MIN((L$27),99))/100))+5.0)/(1-(((MIN((L$27),99))/100))+5.0))))*100))/100))*0.96)),(((((MIN(($K27),99))/100))+5.0)/(1-(((MIN(($K27),99))/100))+5.0))))*100))/100))*0.96)),(((((MIN((J$27),99))/100))+5.0)/(1-(((MIN((J$27),99))/100))+5.0))))*100))/100))*0.96)),(((((MIN(($I$27),99))/100))+5.0)/(1-(((MIN(($I$27),99))/100))+5.0))))*100))/100))*0.96)),(((((MIN((H$27),99))/100))+5.0)/(1-(((MIN((H$27),99))/100))+5.0))))*100))/100))*0.96)),(((((MIN(($G$27),99))/100))+5.0)/(1-(((MIN(($G$27),99))/100))+5.0))))*100))/100))*0.96)),(((((MIN((O26),99))/100))+5.0)/(1-(((MIN((O26),99))/100))+5.0))))*100))/100))*0.96)),(((((MIN((O25),99))/100))+5.0)/(1-(((MIN((O25),99))/100))+5.0))))*100))/100))*0.96)),(((((MIN(($O24),99))/100))+5.0)/(1-(((MIN(($O24),99))/100))+5.0))))*100))/100))*0.96)),(((((MIN(($O23),99))/100))+5.0)/(1-(((MIN(($O23),99))/100))+5.0))))*100))/100))*0.96)),(((((MIN(($O22),99))/100))+5.0)/(1-(((MIN(($O22),99))/100))+5.0))))*100))/100))*0.96)),(((((MIN(($O21),99))/100))+5.0)/(1-(((MIN(($O21),99))/100))+5.0))))*100))/100))*0.96)),(((((MIN((O20),99))/100))+5.0)/(1-(((MIN((O20),99))/100))+5.0))))*100))/100))*0.96)),(((((MIN(($O$19),99))/100))+5.0)/(1-(((MIN(($O$19),99))/100))+5.0))))*100))/100))*0.96)),(((((MIN(($O$18),99))/100))+5.0)/(1-(((MIN(($O$18),99))/100))+5.0))))*100))/100))*0.96)),(((((MIN((O$17),99))/100))+5.0)/(1-(((MIN((O$17),99))/100))+5.0))))*100))/100))*0.96)),(((((MIN((O$16),99))/100))+5.0)/(1-(((MIN((O$16),99))/100))+5.0))))*100))/100))*0.96)),(((((MIN((O$15),99))/100))+5.0)/(1-(((MIN((O$15),99))/100))+5.0))))*100))/100))*0.96)),(((((MIN((O$14),99))/100))+5.0)/(1-(((MIN((O$14),99))/100))+5.0))))*100))/100))*0.96)),(((((MIN(($O13),99))/100))+5.0)/(1-(((MIN(($O13),99))/100))+5.0))))*100))/100))*0.96)),(((((MIN((O$12),99))/100))+5.0)/(1-(((MIN((O$12),99))/100))+5.0))))*100))/100))*0.96)),(((((MIN((O$11),99))/100))+5.0)/(1-(((MIN((O$11),99))/100))+5.0))))*100),0)</f>
        <v/>
      </c>
      <c r="P2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(46)/100))*0.96)),(((((MIN(($O27),99))/100))+5.0)/(1-(((MIN(($O27),99))/100))+5.0))))*100))/100))*0.96)),(((((MIN((N$27),99))/100))+5.0)/(1-(((MIN((N$27),99))/100))+5.0))))*100))/100))*0.96)),(((((MIN((M27),99))/100))+5.0)/(1-(((MIN((M27),99))/100))+5.0))))*100))/100))*0.96)),(((((MIN((L27),99))/100))+5.0)/(1-(((MIN((L27),99))/100))+5.0))))*100))/100))*0.96)),(((((MIN(($K27),99))/100))+5.0)/(1-(((MIN(($K27),99))/100))+5.0))))*100))/100))*0.96)),(((((MIN((J$27),99))/100))+5.0)/(1-(((MIN((J$27),99))/100))+5.0))))*100))/100))*0.96)),(((((MIN((I27),99))/100))+5.0)/(1-(((MIN((I27),99))/100))+5.0))))*100))/100))*0.96)),(((((MIN(($H$27),99))/100))+5.0)/(1-(((MIN(($H$27),99))/100))+5.0))))*100))/100))*0.96)),(((((MIN(($P$26),99))/100))+5.0)/(1-(((MIN(($P$26),99))/100))+5.0))))*100))/100))*0.96)),(((((MIN((P25),99))/100))+5.0)/(1-(((MIN((P25),99))/100))+5.0))))*100))/100))*0.96)),(((((MIN((P$24),99))/100))+5.0)/(1-(((MIN((P$24),99))/100))+5.0))))*100))/100))*0.96)),(((((MIN((P$23),99))/100))+5.0)/(1-(((MIN((P$23),99))/100))+5.0))))*100))/100))*0.96)),(((((MIN((P22),99))/100))+5.0)/(1-(((MIN((P22),99))/100))+5.0))))*100))/100))*0.96)),(((((MIN(($P21),99))/100))+5.0)/(1-(((MIN(($P21),99))/100))+5.0))))*100))/100))*0.96)),(((((MIN(($P$20),99))/100))+5.0)/(1-(((MIN(($P$20),99))/100))+5.0))))*100))/100))*0.96)),(((((MIN((P19),99))/100))+5.0)/(1-(((MIN((P19),99))/100))+5.0))))*100))/100))*0.96)),(((((MIN((P18),99))/100))+5.0)/(1-(((MIN((P18),99))/100))+5.0))))*100))/100))*0.96)),(((((MIN((P$17),99))/100))+5.0)/(1-(((MIN((P$17),99))/100))+5.0))))*100))/100))*0.96)),(((((MIN((P$16),99))/100))+5.0)/(1-(((MIN((P$16),99))/100))+5.0))))*100))/100))*0.96)),(((((MIN((P$15),99))/100))+5.0)/(1-(((MIN((P$15),99))/100))+5.0))))*100))/100))*0.96)),(((((MIN(($P$14),99))/100))+5.0)/(1-(((MIN(($P$14),99))/100))+5.0))))*100))/100))*0.96)),(((((MIN(($P13),99))/100))+5.0)/(1-(((MIN(($P13),99))/100))+5.0))))*100))/100))*0.96)),(((((MIN(($P$12),99))/100))+5.0)/(1-(((MIN(($P$12),99))/100))+5.0))))*100))/100))*0.96)),(((((MIN((P$11),99))/100))+5.0)/(1-(((MIN((P$11),99))/100))+5.0))))*100),0)</f>
        <v/>
      </c>
      <c r="Q2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(10)/100))*0.96)),(((((MIN(($P$27),99))/100))+5.0)/(1-(((MIN(($P$27),99))/100))+5.0))))*100))/100))*0.96)),(((((MIN(($O27),99))/100))+5.0)/(1-(((MIN(($O27),99))/100))+5.0))))*100))/100))*0.96)),(((((MIN((N27),99))/100))+5.0)/(1-(((MIN((N27),99))/100))+5.0))))*100))/100))*0.96)),(((((MIN((M27),99))/100))+5.0)/(1-(((MIN((M27),99))/100))+5.0))))*100))/100))*0.96)),(((((MIN((L$27),99))/100))+5.0)/(1-(((MIN((L$27),99))/100))+5.0))))*100))/100))*0.96)),(((((MIN(($K$27),99))/100))+5.0)/(1-(((MIN(($K$27),99))/100))+5.0))))*100))/100))*0.96)),(((((MIN(($J$27),99))/100))+5.0)/(1-(((MIN(($J$27),99))/100))+5.0))))*100))/100))*0.96)),(((((MIN((I$27),99))/100))+5.0)/(1-(((MIN((I$27),99))/100))+5.0))))*100))/100))*0.96)),(((((MIN((Q26),99))/100))+5.0)/(1-(((MIN((Q26),99))/100))+5.0))))*100))/100))*0.96)),(((((MIN(($Q25),99))/100))+5.0)/(1-(((MIN(($Q25),99))/100))+5.0))))*100))/100))*0.96)),(((((MIN((Q$24),99))/100))+5.0)/(1-(((MIN((Q$24),99))/100))+5.0))))*100))/100))*0.96)),(((((MIN((Q23),99))/100))+5.0)/(1-(((MIN((Q23),99))/100))+5.0))))*100))/100))*0.96)),(((((MIN((Q22),99))/100))+5.0)/(1-(((MIN((Q22),99))/100))+5.0))))*100))/100))*0.96)),(((((MIN(($Q21),99))/100))+5.0)/(1-(((MIN(($Q21),99))/100))+5.0))))*100))/100))*0.96)),(((((MIN((Q$20),99))/100))+5.0)/(1-(((MIN((Q$20),99))/100))+5.0))))*100))/100))*0.96)),(((((MIN((Q$19),99))/100))+5.0)/(1-(((MIN((Q$19),99))/100))+5.0))))*100))/100))*0.96)),(((((MIN((Q18),99))/100))+5.0)/(1-(((MIN((Q18),99))/100))+5.0))))*100))/100))*0.96)),(((((MIN((Q$17),99))/100))+5.0)/(1-(((MIN((Q$17),99))/100))+5.0))))*100))/100))*0.96)),(((((MIN((Q16),99))/100))+5.0)/(1-(((MIN((Q16),99))/100))+5.0))))*100))/100))*0.96)),(((((MIN(($Q15),99))/100))+5.0)/(1-(((MIN(($Q15),99))/100))+5.0))))*100))/100))*0.96)),(((((MIN((Q$14),99))/100))+5.0)/(1-(((MIN((Q$14),99))/100))+5.0))))*100))/100))*0.96)),(((((MIN(($Q$13),99))/100))+5.0)/(1-(((MIN(($Q$13),99))/100))+5.0))))*100))/100))*0.96)),(((((MIN((Q12),99))/100))+5.0)/(1-(((MIN((Q12),99))/100))+5.0))))*100))/100))*0.96)),(((((MIN((Q11),99))/100))+5.0)/(1-(((MIN((Q11),99))/100))+5.0))))*100),0)</f>
        <v/>
      </c>
      <c r="R2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(92)/100))*0.96)),(((((MIN((Q$27),99))/100))+5.0)/(1-(((MIN((Q$27),99))/100))+5.0))))*100))/100))*0.96)),(((((MIN((P27),99))/100))+5.0)/(1-(((MIN((P27),99))/100))+5.0))))*100))/100))*0.96)),(((((MIN((O27),99))/100))+5.0)/(1-(((MIN((O27),99))/100))+5.0))))*100))/100))*0.96)),(((((MIN(($N$27),99))/100))+5.0)/(1-(((MIN(($N$27),99))/100))+5.0))))*100))/100))*0.96)),(((((MIN((M$27),99))/100))+5.0)/(1-(((MIN((M$27),99))/100))+5.0))))*100))/100))*0.96)),(((((MIN((L$27),99))/100))+5.0)/(1-(((MIN((L$27),99))/100))+5.0))))*100))/100))*0.96)),(((((MIN((K27),99))/100))+5.0)/(1-(((MIN((K27),99))/100))+5.0))))*100))/100))*0.96)),(((((MIN(($J27),99))/100))+5.0)/(1-(((MIN(($J27),99))/100))+5.0))))*100))/100))*0.96)),(((((MIN(($R26),99))/100))+5.0)/(1-(((MIN(($R26),99))/100))+5.0))))*100))/100))*0.96)),(((((MIN((R$25),99))/100))+5.0)/(1-(((MIN((R$25),99))/100))+5.0))))*100))/100))*0.96)),(((((MIN(($R24),99))/100))+5.0)/(1-(((MIN(($R24),99))/100))+5.0))))*100))/100))*0.96)),(((((MIN((R23),99))/100))+5.0)/(1-(((MIN((R23),99))/100))+5.0))))*100))/100))*0.96)),(((((MIN((R22),99))/100))+5.0)/(1-(((MIN((R22),99))/100))+5.0))))*100))/100))*0.96)),(((((MIN(($R$21),99))/100))+5.0)/(1-(((MIN(($R$21),99))/100))+5.0))))*100))/100))*0.96)),(((((MIN((R$20),99))/100))+5.0)/(1-(((MIN((R$20),99))/100))+5.0))))*100))/100))*0.96)),(((((MIN(($R19),99))/100))+5.0)/(1-(((MIN(($R19),99))/100))+5.0))))*100))/100))*0.96)),(((((MIN(($R$18),99))/100))+5.0)/(1-(((MIN(($R$18),99))/100))+5.0))))*100))/100))*0.96)),(((((MIN(($R$17),99))/100))+5.0)/(1-(((MIN(($R$17),99))/100))+5.0))))*100))/100))*0.96)),(((((MIN(($R$16),99))/100))+5.0)/(1-(((MIN(($R$16),99))/100))+5.0))))*100))/100))*0.96)),(((((MIN(($R15),99))/100))+5.0)/(1-(((MIN(($R15),99))/100))+5.0))))*100))/100))*0.96)),(((((MIN((R$14),99))/100))+5.0)/(1-(((MIN((R$14),99))/100))+5.0))))*100))/100))*0.96)),(((((MIN((R13),99))/100))+5.0)/(1-(((MIN((R13),99))/100))+5.0))))*100))/100))*0.96)),(((((MIN((R12),99))/100))+5.0)/(1-(((MIN((R12),99))/100))+5.0))))*100))/100))*0.96)),(((((MIN((R$11),99))/100))+5.0)/(1-(((MIN((R$11),99))/100))+5.0))))*100),0)</f>
        <v/>
      </c>
      <c r="S2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(14)/100))*0.96)),(((((MIN((R27),99))/100))+5.0)/(1-(((MIN((R27),99))/100))+5.0))))*100))/100))*0.96)),(((((MIN(($Q27),99))/100))+5.0)/(1-(((MIN(($Q27),99))/100))+5.0))))*100))/100))*0.96)),(((((MIN((P$27),99))/100))+5.0)/(1-(((MIN((P$27),99))/100))+5.0))))*100))/100))*0.96)),(((((MIN((O$27),99))/100))+5.0)/(1-(((MIN((O$27),99))/100))+5.0))))*100))/100))*0.96)),(((((MIN((N$27),99))/100))+5.0)/(1-(((MIN((N$27),99))/100))+5.0))))*100))/100))*0.96)),(((((MIN((M27),99))/100))+5.0)/(1-(((MIN((M27),99))/100))+5.0))))*100))/100))*0.96)),(((((MIN(($L27),99))/100))+5.0)/(1-(((MIN(($L27),99))/100))+5.0))))*100))/100))*0.96)),(((((MIN(($K$27),99))/100))+5.0)/(1-(((MIN(($K$27),99))/100))+5.0))))*100))/100))*0.96)),(((((MIN((S$26),99))/100))+5.0)/(1-(((MIN((S$26),99))/100))+5.0))))*100))/100))*0.96)),(((((MIN(($S$25),99))/100))+5.0)/(1-(((MIN(($S$25),99))/100))+5.0))))*100))/100))*0.96)),(((((MIN((S$24),99))/100))+5.0)/(1-(((MIN((S$24),99))/100))+5.0))))*100))/100))*0.96)),(((((MIN((S$23),99))/100))+5.0)/(1-(((MIN((S$23),99))/100))+5.0))))*100))/100))*0.96)),(((((MIN(($S22),99))/100))+5.0)/(1-(((MIN(($S22),99))/100))+5.0))))*100))/100))*0.96)),(((((MIN((S$21),99))/100))+5.0)/(1-(((MIN((S$21),99))/100))+5.0))))*100))/100))*0.96)),(((((MIN(($S20),99))/100))+5.0)/(1-(((MIN(($S20),99))/100))+5.0))))*100))/100))*0.96)),(((((MIN(($S$19),99))/100))+5.0)/(1-(((MIN(($S$19),99))/100))+5.0))))*100))/100))*0.96)),(((((MIN(($S$18),99))/100))+5.0)/(1-(((MIN(($S$18),99))/100))+5.0))))*100))/100))*0.96)),(((((MIN(($S17),99))/100))+5.0)/(1-(((MIN(($S17),99))/100))+5.0))))*100))/100))*0.96)),(((((MIN(($S$16),99))/100))+5.0)/(1-(((MIN(($S$16),99))/100))+5.0))))*100))/100))*0.96)),(((((MIN((S$15),99))/100))+5.0)/(1-(((MIN((S$15),99))/100))+5.0))))*100))/100))*0.96)),(((((MIN(($S$14),99))/100))+5.0)/(1-(((MIN(($S$14),99))/100))+5.0))))*100))/100))*0.96)),(((((MIN((S13),99))/100))+5.0)/(1-(((MIN((S13),99))/100))+5.0))))*100))/100))*0.96)),(((((MIN((S$12),99))/100))+5.0)/(1-(((MIN((S$12),99))/100))+5.0))))*100))/100))*0.96)),(((((MIN((S$11),99))/100))+5.0)/(1-(((MIN((S$11),99))/100))+5.0))))*100),0)</f>
        <v/>
      </c>
      <c r="T27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(37)/100))*0.96)),(((((MIN(($S27),99))/100))+5.0)/(1-(((MIN(($S27),99))/100))+5.0))))*100))/100))*0.96)),(((((MIN((R27),99))/100))+5.0)/(1-(((MIN((R27),99))/100))+5.0))))*100))/100))*0.96)),(((((MIN(($Q27),99))/100))+5.0)/(1-(((MIN(($Q27),99))/100))+5.0))))*100))/100))*0.96)),(((((MIN((P27),99))/100))+5.0)/(1-(((MIN((P27),99))/100))+5.0))))*100))/100))*0.96)),(((((MIN(($O$27),99))/100))+5.0)/(1-(((MIN(($O$27),99))/100))+5.0))))*100))/100))*0.96)),(((((MIN((N27),99))/100))+5.0)/(1-(((MIN((N27),99))/100))+5.0))))*100))/100))*0.96)),(((((MIN(($M27),99))/100))+5.0)/(1-(((MIN(($M27),99))/100))+5.0))))*100))/100))*0.96)),(((((MIN((L27),99))/100))+5.0)/(1-(((MIN((L27),99))/100))+5.0))))*100))/100))*0.96)),(((((MIN(($T$26),99))/100))+5.0)/(1-(((MIN(($T$26),99))/100))+5.0))))*100))/100))*0.96)),(((((MIN(($T$25),99))/100))+5.0)/(1-(((MIN(($T$25),99))/100))+5.0))))*100))/100))*0.96)),(((((MIN(($T24),99))/100))+5.0)/(1-(((MIN(($T24),99))/100))+5.0))))*100))/100))*0.96)),(((((MIN((T23),99))/100))+5.0)/(1-(((MIN((T23),99))/100))+5.0))))*100))/100))*0.96)),(((((MIN(($T22),99))/100))+5.0)/(1-(((MIN(($T22),99))/100))+5.0))))*100))/100))*0.96)),(((((MIN((T$21),99))/100))+5.0)/(1-(((MIN((T$21),99))/100))+5.0))))*100))/100))*0.96)),(((((MIN(($T$20),99))/100))+5.0)/(1-(((MIN(($T$20),99))/100))+5.0))))*100))/100))*0.96)),(((((MIN((T19),99))/100))+5.0)/(1-(((MIN((T19),99))/100))+5.0))))*100))/100))*0.96)),(((((MIN(($T18),99))/100))+5.0)/(1-(((MIN(($T18),99))/100))+5.0))))*100))/100))*0.96)),(((((MIN((T$17),99))/100))+5.0)/(1-(((MIN((T$17),99))/100))+5.0))))*100))/100))*0.96)),(((((MIN(($T$16),99))/100))+5.0)/(1-(((MIN(($T$16),99))/100))+5.0))))*100))/100))*0.96)),(((((MIN(($T$15),99))/100))+5.0)/(1-(((MIN(($T$15),99))/100))+5.0))))*100))/100))*0.96)),(((((MIN((T$14),99))/100))+5.0)/(1-(((MIN((T$14),99))/100))+5.0))))*100))/100))*0.96)),(((((MIN((T13),99))/100))+5.0)/(1-(((MIN((T13),99))/100))+5.0))))*100))/100))*0.96)),(((((MIN(($T12),99))/100))+5.0)/(1-(((MIN(($T12),99))/100))+5.0))))*100))/100))*0.96)),(((((MIN(($T11),99))/100))+5.0)/(1-(((MIN(($T11),99))/100))+5.0))))*100),0)</f>
        <v/>
      </c>
    </row>
    <row r="28">
      <c r="A2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(49)/100))*0.96)),(((((MIN((A$27),99))/100))+5.0)/(1-(((MIN((A$27),99))/100))+5.0))))*100))/100))*0.96)),(((((MIN((A$26),99))/100))+5.0)/(1-(((MIN((A$26),99))/100))+5.0))))*100))/100))*0.96)),(((((MIN((A$25),99))/100))+5.0)/(1-(((MIN((A$25),99))/100))+5.0))))*100))/100))*0.96)),(((((MIN(($A24),99))/100))+5.0)/(1-(((MIN(($A24),99))/100))+5.0))))*100))/100))*0.96)),(((((MIN(($A$23),99))/100))+5.0)/(1-(((MIN(($A$23),99))/100))+5.0))))*100))/100))*0.96)),(((((MIN(($A$22),99))/100))+5.0)/(1-(((MIN(($A$22),99))/100))+5.0))))*100))/100))*0.96)),(((((MIN(($A21),99))/100))+5.0)/(1-(((MIN(($A21),99))/100))+5.0))))*100))/100))*0.96)),(((((MIN(($A$20),99))/100))+5.0)/(1-(((MIN(($A$20),99))/100))+5.0))))*100))/100))*0.96)),(((((MIN(($A$19),99))/100))+5.0)/(1-(((MIN(($A$19),99))/100))+5.0))))*100))/100))*0.96)),(((((MIN(($A18),99))/100))+5.0)/(1-(((MIN(($A18),99))/100))+5.0))))*100))/100))*0.96)),(((((MIN(($A17),99))/100))+5.0)/(1-(((MIN(($A17),99))/100))+5.0))))*100))/100))*0.96)),(((((MIN((A$16),99))/100))+5.0)/(1-(((MIN((A$16),99))/100))+5.0))))*100))/100))*0.96)),(((((MIN((A15),99))/100))+5.0)/(1-(((MIN((A15),99))/100))+5.0))))*100))/100))*0.96)),(((((MIN(($A14),99))/100))+5.0)/(1-(((MIN(($A14),99))/100))+5.0))))*100))/100))*0.96)),(((((MIN(($A$13),99))/100))+5.0)/(1-(((MIN(($A$13),99))/100))+5.0))))*100))/100))*0.96)),(((((MIN(($A$12),99))/100))+5.0)/(1-(((MIN(($A$12),99))/100))+5.0))))*100),0)</f>
        <v/>
      </c>
      <c r="B2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(21)/100))*0.96)),(((((MIN(($A28),99))/100))+5.0)/(1-(((MIN(($A28),99))/100))+5.0))))*100))/100))*0.96)),(((((MIN((B27),99))/100))+5.0)/(1-(((MIN((B27),99))/100))+5.0))))*100))/100))*0.96)),(((((MIN((B26),99))/100))+5.0)/(1-(((MIN((B26),99))/100))+5.0))))*100))/100))*0.96)),(((((MIN(($B$25),99))/100))+5.0)/(1-(((MIN(($B$25),99))/100))+5.0))))*100))/100))*0.96)),(((((MIN((B$24),99))/100))+5.0)/(1-(((MIN((B$24),99))/100))+5.0))))*100))/100))*0.96)),(((((MIN(($B23),99))/100))+5.0)/(1-(((MIN(($B23),99))/100))+5.0))))*100))/100))*0.96)),(((((MIN((B22),99))/100))+5.0)/(1-(((MIN((B22),99))/100))+5.0))))*100))/100))*0.96)),(((((MIN(($B21),99))/100))+5.0)/(1-(((MIN(($B21),99))/100))+5.0))))*100))/100))*0.96)),(((((MIN(($B$20),99))/100))+5.0)/(1-(((MIN(($B$20),99))/100))+5.0))))*100))/100))*0.96)),(((((MIN(($B19),99))/100))+5.0)/(1-(((MIN(($B19),99))/100))+5.0))))*100))/100))*0.96)),(((((MIN((B18),99))/100))+5.0)/(1-(((MIN((B18),99))/100))+5.0))))*100))/100))*0.96)),(((((MIN(($B17),99))/100))+5.0)/(1-(((MIN(($B17),99))/100))+5.0))))*100))/100))*0.96)),(((((MIN(($B$16),99))/100))+5.0)/(1-(((MIN(($B$16),99))/100))+5.0))))*100))/100))*0.96)),(((((MIN(($B15),99))/100))+5.0)/(1-(((MIN(($B15),99))/100))+5.0))))*100))/100))*0.96)),(((((MIN((B$14),99))/100))+5.0)/(1-(((MIN((B$14),99))/100))+5.0))))*100))/100))*0.96)),(((((MIN((B13),99))/100))+5.0)/(1-(((MIN((B13),99))/100))+5.0))))*100))/100))*0.96)),(((((MIN((B$12),99))/100))+5.0)/(1-(((MIN((B$12),99))/100))+5.0))))*100),0)</f>
        <v/>
      </c>
      <c r="C2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(66)/100))*0.96)),(((((MIN(($B$28),99))/100))+5.0)/(1-(((MIN(($B$28),99))/100))+5.0))))*100))/100))*0.96)),(((((MIN((A$28),99))/100))+5.0)/(1-(((MIN((A$28),99))/100))+5.0))))*100))/100))*0.96)),(((((MIN(($C27),99))/100))+5.0)/(1-(((MIN(($C27),99))/100))+5.0))))*100))/100))*0.96)),(((((MIN((C26),99))/100))+5.0)/(1-(((MIN((C26),99))/100))+5.0))))*100))/100))*0.96)),(((((MIN(($C$25),99))/100))+5.0)/(1-(((MIN(($C$25),99))/100))+5.0))))*100))/100))*0.96)),(((((MIN((C$24),99))/100))+5.0)/(1-(((MIN((C$24),99))/100))+5.0))))*100))/100))*0.96)),(((((MIN((C$23),99))/100))+5.0)/(1-(((MIN((C$23),99))/100))+5.0))))*100))/100))*0.96)),(((((MIN(($C$22),99))/100))+5.0)/(1-(((MIN(($C$22),99))/100))+5.0))))*100))/100))*0.96)),(((((MIN((C$21),99))/100))+5.0)/(1-(((MIN((C$21),99))/100))+5.0))))*100))/100))*0.96)),(((((MIN((C20),99))/100))+5.0)/(1-(((MIN((C20),99))/100))+5.0))))*100))/100))*0.96)),(((((MIN(($C$19),99))/100))+5.0)/(1-(((MIN(($C$19),99))/100))+5.0))))*100))/100))*0.96)),(((((MIN((C$18),99))/100))+5.0)/(1-(((MIN((C$18),99))/100))+5.0))))*100))/100))*0.96)),(((((MIN((C17),99))/100))+5.0)/(1-(((MIN((C17),99))/100))+5.0))))*100))/100))*0.96)),(((((MIN((C16),99))/100))+5.0)/(1-(((MIN((C16),99))/100))+5.0))))*100))/100))*0.96)),(((((MIN(($C$15),99))/100))+5.0)/(1-(((MIN(($C$15),99))/100))+5.0))))*100))/100))*0.96)),(((((MIN(($C14),99))/100))+5.0)/(1-(((MIN(($C14),99))/100))+5.0))))*100))/100))*0.96)),(((((MIN(($C13),99))/100))+5.0)/(1-(((MIN(($C13),99))/100))+5.0))))*100))/100))*0.96)),(((((MIN(($C12),99))/100))+5.0)/(1-(((MIN(($C12),99))/100))+5.0))))*100),0)</f>
        <v/>
      </c>
      <c r="D2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(83)/100))*0.96)),(((((MIN((C$28),99))/100))+5.0)/(1-(((MIN((C$28),99))/100))+5.0))))*100))/100))*0.96)),(((((MIN((B28),99))/100))+5.0)/(1-(((MIN((B28),99))/100))+5.0))))*100))/100))*0.96)),(((((MIN((A$28),99))/100))+5.0)/(1-(((MIN((A$28),99))/100))+5.0))))*100))/100))*0.96)),(((((MIN((D27),99))/100))+5.0)/(1-(((MIN((D27),99))/100))+5.0))))*100))/100))*0.96)),(((((MIN((D$26),99))/100))+5.0)/(1-(((MIN((D$26),99))/100))+5.0))))*100))/100))*0.96)),(((((MIN(($D25),99))/100))+5.0)/(1-(((MIN(($D25),99))/100))+5.0))))*100))/100))*0.96)),(((((MIN(($D$24),99))/100))+5.0)/(1-(((MIN(($D$24),99))/100))+5.0))))*100))/100))*0.96)),(((((MIN((D$23),99))/100))+5.0)/(1-(((MIN((D$23),99))/100))+5.0))))*100))/100))*0.96)),(((((MIN(($D$22),99))/100))+5.0)/(1-(((MIN(($D$22),99))/100))+5.0))))*100))/100))*0.96)),(((((MIN((D21),99))/100))+5.0)/(1-(((MIN((D21),99))/100))+5.0))))*100))/100))*0.96)),(((((MIN(($D$20),99))/100))+5.0)/(1-(((MIN(($D$20),99))/100))+5.0))))*100))/100))*0.96)),(((((MIN((D$19),99))/100))+5.0)/(1-(((MIN((D$19),99))/100))+5.0))))*100))/100))*0.96)),(((((MIN(($D$18),99))/100))+5.0)/(1-(((MIN(($D$18),99))/100))+5.0))))*100))/100))*0.96)),(((((MIN((D17),99))/100))+5.0)/(1-(((MIN((D17),99))/100))+5.0))))*100))/100))*0.96)),(((((MIN(($D16),99))/100))+5.0)/(1-(((MIN(($D16),99))/100))+5.0))))*100))/100))*0.96)),(((((MIN(($D15),99))/100))+5.0)/(1-(((MIN(($D15),99))/100))+5.0))))*100))/100))*0.96)),(((((MIN((D14),99))/100))+5.0)/(1-(((MIN((D14),99))/100))+5.0))))*100))/100))*0.96)),(((((MIN((D$13),99))/100))+5.0)/(1-(((MIN((D$13),99))/100))+5.0))))*100))/100))*0.96)),(((((MIN((D$12),99))/100))+5.0)/(1-(((MIN((D$12),99))/100))+5.0))))*100),0)</f>
        <v/>
      </c>
      <c r="E2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(55)/100))*0.96)),(((((MIN(($D$28),99))/100))+5.0)/(1-(((MIN(($D$28),99))/100))+5.0))))*100))/100))*0.96)),(((((MIN((C$28),99))/100))+5.0)/(1-(((MIN((C$28),99))/100))+5.0))))*100))/100))*0.96)),(((((MIN(($B$28),99))/100))+5.0)/(1-(((MIN(($B$28),99))/100))+5.0))))*100))/100))*0.96)),(((((MIN(($A$28),99))/100))+5.0)/(1-(((MIN(($A$28),99))/100))+5.0))))*100))/100))*0.96)),(((((MIN((E27),99))/100))+5.0)/(1-(((MIN((E27),99))/100))+5.0))))*100))/100))*0.96)),(((((MIN((E$26),99))/100))+5.0)/(1-(((MIN((E$26),99))/100))+5.0))))*100))/100))*0.96)),(((((MIN((E$25),99))/100))+5.0)/(1-(((MIN((E$25),99))/100))+5.0))))*100))/100))*0.96)),(((((MIN((E$24),99))/100))+5.0)/(1-(((MIN((E$24),99))/100))+5.0))))*100))/100))*0.96)),(((((MIN(($E23),99))/100))+5.0)/(1-(((MIN(($E23),99))/100))+5.0))))*100))/100))*0.96)),(((((MIN((E$22),99))/100))+5.0)/(1-(((MIN((E$22),99))/100))+5.0))))*100))/100))*0.96)),(((((MIN((E$21),99))/100))+5.0)/(1-(((MIN((E$21),99))/100))+5.0))))*100))/100))*0.96)),(((((MIN((E20),99))/100))+5.0)/(1-(((MIN((E20),99))/100))+5.0))))*100))/100))*0.96)),(((((MIN((E$19),99))/100))+5.0)/(1-(((MIN((E$19),99))/100))+5.0))))*100))/100))*0.96)),(((((MIN(($E$18),99))/100))+5.0)/(1-(((MIN(($E$18),99))/100))+5.0))))*100))/100))*0.96)),(((((MIN((E17),99))/100))+5.0)/(1-(((MIN((E17),99))/100))+5.0))))*100))/100))*0.96)),(((((MIN(($E$16),99))/100))+5.0)/(1-(((MIN(($E$16),99))/100))+5.0))))*100))/100))*0.96)),(((((MIN(($E$15),99))/100))+5.0)/(1-(((MIN(($E$15),99))/100))+5.0))))*100))/100))*0.96)),(((((MIN(($E$14),99))/100))+5.0)/(1-(((MIN(($E$14),99))/100))+5.0))))*100))/100))*0.96)),(((((MIN((E$13),99))/100))+5.0)/(1-(((MIN((E$13),99))/100))+5.0))))*100))/100))*0.96)),(((((MIN((E12),99))/100))+5.0)/(1-(((MIN((E12),99))/100))+5.0))))*100),0)</f>
        <v/>
      </c>
      <c r="F2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(33)/100))*0.96)),(((((MIN((E$28),99))/100))+5.0)/(1-(((MIN((E$28),99))/100))+5.0))))*100))/100))*0.96)),(((((MIN(($D28),99))/100))+5.0)/(1-(((MIN(($D28),99))/100))+5.0))))*100))/100))*0.96)),(((((MIN(($C$28),99))/100))+5.0)/(1-(((MIN(($C$28),99))/100))+5.0))))*100))/100))*0.96)),(((((MIN((B28),99))/100))+5.0)/(1-(((MIN((B28),99))/100))+5.0))))*100))/100))*0.96)),(((((MIN((A$28),99))/100))+5.0)/(1-(((MIN((A$28),99))/100))+5.0))))*100))/100))*0.96)),(((((MIN(($F$27),99))/100))+5.0)/(1-(((MIN(($F$27),99))/100))+5.0))))*100))/100))*0.96)),(((((MIN((F$26),99))/100))+5.0)/(1-(((MIN((F$26),99))/100))+5.0))))*100))/100))*0.96)),(((((MIN(($F$25),99))/100))+5.0)/(1-(((MIN(($F$25),99))/100))+5.0))))*100))/100))*0.96)),(((((MIN(($F$24),99))/100))+5.0)/(1-(((MIN(($F$24),99))/100))+5.0))))*100))/100))*0.96)),(((((MIN((F$23),99))/100))+5.0)/(1-(((MIN((F$23),99))/100))+5.0))))*100))/100))*0.96)),(((((MIN((F22),99))/100))+5.0)/(1-(((MIN((F22),99))/100))+5.0))))*100))/100))*0.96)),(((((MIN(($F21),99))/100))+5.0)/(1-(((MIN(($F21),99))/100))+5.0))))*100))/100))*0.96)),(((((MIN((F$20),99))/100))+5.0)/(1-(((MIN((F$20),99))/100))+5.0))))*100))/100))*0.96)),(((((MIN((F$19),99))/100))+5.0)/(1-(((MIN((F$19),99))/100))+5.0))))*100))/100))*0.96)),(((((MIN(($F18),99))/100))+5.0)/(1-(((MIN(($F18),99))/100))+5.0))))*100))/100))*0.96)),(((((MIN((F17),99))/100))+5.0)/(1-(((MIN((F17),99))/100))+5.0))))*100))/100))*0.96)),(((((MIN(($F$16),99))/100))+5.0)/(1-(((MIN(($F$16),99))/100))+5.0))))*100))/100))*0.96)),(((((MIN((F$15),99))/100))+5.0)/(1-(((MIN((F$15),99))/100))+5.0))))*100))/100))*0.96)),(((((MIN(($F$14),99))/100))+5.0)/(1-(((MIN(($F$14),99))/100))+5.0))))*100))/100))*0.96)),(((((MIN(($F13),99))/100))+5.0)/(1-(((MIN(($F13),99))/100))+5.0))))*100))/100))*0.96)),(((((MIN((F$12),99))/100))+5.0)/(1-(((MIN((F$12),99))/100))+5.0))))*100),0)</f>
        <v/>
      </c>
      <c r="G2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(67)/100))*0.96)),(((((MIN(($F$28),99))/100))+5.0)/(1-(((MIN(($F$28),99))/100))+5.0))))*100))/100))*0.96)),(((((MIN((E28),99))/100))+5.0)/(1-(((MIN((E28),99))/100))+5.0))))*100))/100))*0.96)),(((((MIN((D$28),99))/100))+5.0)/(1-(((MIN((D$28),99))/100))+5.0))))*100))/100))*0.96)),(((((MIN((C$28),99))/100))+5.0)/(1-(((MIN((C$28),99))/100))+5.0))))*100))/100))*0.96)),(((((MIN(($B28),99))/100))+5.0)/(1-(((MIN(($B28),99))/100))+5.0))))*100))/100))*0.96)),(((((MIN(($A28),99))/100))+5.0)/(1-(((MIN(($A28),99))/100))+5.0))))*100))/100))*0.96)),(((((MIN((G27),99))/100))+5.0)/(1-(((MIN((G27),99))/100))+5.0))))*100))/100))*0.96)),(((((MIN(($G$26),99))/100))+5.0)/(1-(((MIN(($G$26),99))/100))+5.0))))*100))/100))*0.96)),(((((MIN((G25),99))/100))+5.0)/(1-(((MIN((G25),99))/100))+5.0))))*100))/100))*0.96)),(((((MIN((G24),99))/100))+5.0)/(1-(((MIN((G24),99))/100))+5.0))))*100))/100))*0.96)),(((((MIN(($G23),99))/100))+5.0)/(1-(((MIN(($G23),99))/100))+5.0))))*100))/100))*0.96)),(((((MIN(($G$22),99))/100))+5.0)/(1-(((MIN(($G$22),99))/100))+5.0))))*100))/100))*0.96)),(((((MIN((G$21),99))/100))+5.0)/(1-(((MIN((G$21),99))/100))+5.0))))*100))/100))*0.96)),(((((MIN(($G$20),99))/100))+5.0)/(1-(((MIN(($G$20),99))/100))+5.0))))*100))/100))*0.96)),(((((MIN(($G19),99))/100))+5.0)/(1-(((MIN(($G19),99))/100))+5.0))))*100))/100))*0.96)),(((((MIN(($G$18),99))/100))+5.0)/(1-(((MIN(($G$18),99))/100))+5.0))))*100))/100))*0.96)),(((((MIN((G$17),99))/100))+5.0)/(1-(((MIN((G$17),99))/100))+5.0))))*100))/100))*0.96)),(((((MIN((G16),99))/100))+5.0)/(1-(((MIN((G16),99))/100))+5.0))))*100))/100))*0.96)),(((((MIN((G$15),99))/100))+5.0)/(1-(((MIN((G$15),99))/100))+5.0))))*100))/100))*0.96)),(((((MIN(($G$14),99))/100))+5.0)/(1-(((MIN(($G$14),99))/100))+5.0))))*100))/100))*0.96)),(((((MIN((G$13),99))/100))+5.0)/(1-(((MIN((G$13),99))/100))+5.0))))*100))/100))*0.96)),(((((MIN((G$12),99))/100))+5.0)/(1-(((MIN((G$12),99))/100))+5.0))))*100),0)</f>
        <v/>
      </c>
      <c r="H2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(52)/100))*0.96)),(((((MIN((G$28),99))/100))+5.0)/(1-(((MIN((G$28),99))/100))+5.0))))*100))/100))*0.96)),(((((MIN(($F28),99))/100))+5.0)/(1-(((MIN(($F28),99))/100))+5.0))))*100))/100))*0.96)),(((((MIN((E$28),99))/100))+5.0)/(1-(((MIN((E$28),99))/100))+5.0))))*100))/100))*0.96)),(((((MIN((D28),99))/100))+5.0)/(1-(((MIN((D28),99))/100))+5.0))))*100))/100))*0.96)),(((((MIN((C28),99))/100))+5.0)/(1-(((MIN((C28),99))/100))+5.0))))*100))/100))*0.96)),(((((MIN((B$28),99))/100))+5.0)/(1-(((MIN((B$28),99))/100))+5.0))))*100))/100))*0.96)),(((((MIN((A$28),99))/100))+5.0)/(1-(((MIN((A$28),99))/100))+5.0))))*100))/100))*0.96)),(((((MIN((H$27),99))/100))+5.0)/(1-(((MIN((H$27),99))/100))+5.0))))*100))/100))*0.96)),(((((MIN(($H26),99))/100))+5.0)/(1-(((MIN(($H26),99))/100))+5.0))))*100))/100))*0.96)),(((((MIN(($H25),99))/100))+5.0)/(1-(((MIN(($H25),99))/100))+5.0))))*100))/100))*0.96)),(((((MIN((H24),99))/100))+5.0)/(1-(((MIN((H24),99))/100))+5.0))))*100))/100))*0.96)),(((((MIN((H$23),99))/100))+5.0)/(1-(((MIN((H$23),99))/100))+5.0))))*100))/100))*0.96)),(((((MIN(($H$22),99))/100))+5.0)/(1-(((MIN(($H$22),99))/100))+5.0))))*100))/100))*0.96)),(((((MIN(($H$21),99))/100))+5.0)/(1-(((MIN(($H$21),99))/100))+5.0))))*100))/100))*0.96)),(((((MIN((H$20),99))/100))+5.0)/(1-(((MIN((H$20),99))/100))+5.0))))*100))/100))*0.96)),(((((MIN((H$19),99))/100))+5.0)/(1-(((MIN((H$19),99))/100))+5.0))))*100))/100))*0.96)),(((((MIN((H$18),99))/100))+5.0)/(1-(((MIN((H$18),99))/100))+5.0))))*100))/100))*0.96)),(((((MIN(($H$17),99))/100))+5.0)/(1-(((MIN(($H$17),99))/100))+5.0))))*100))/100))*0.96)),(((((MIN((H$16),99))/100))+5.0)/(1-(((MIN((H$16),99))/100))+5.0))))*100))/100))*0.96)),(((((MIN(($H$15),99))/100))+5.0)/(1-(((MIN(($H$15),99))/100))+5.0))))*100))/100))*0.96)),(((((MIN(($H14),99))/100))+5.0)/(1-(((MIN(($H14),99))/100))+5.0))))*100))/100))*0.96)),(((((MIN((H13),99))/100))+5.0)/(1-(((MIN((H13),99))/100))+5.0))))*100))/100))*0.96)),(((((MIN((H12),99))/100))+5.0)/(1-(((MIN((H12),99))/100))+5.0))))*100),0)</f>
        <v/>
      </c>
      <c r="I2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(51)/100))*0.96)),(((((MIN((H28),99))/100))+5.0)/(1-(((MIN((H28),99))/100))+5.0))))*100))/100))*0.96)),(((((MIN((G$28),99))/100))+5.0)/(1-(((MIN((G$28),99))/100))+5.0))))*100))/100))*0.96)),(((((MIN((F$28),99))/100))+5.0)/(1-(((MIN((F$28),99))/100))+5.0))))*100))/100))*0.96)),(((((MIN(($E$28),99))/100))+5.0)/(1-(((MIN(($E$28),99))/100))+5.0))))*100))/100))*0.96)),(((((MIN((D$28),99))/100))+5.0)/(1-(((MIN((D$28),99))/100))+5.0))))*100))/100))*0.96)),(((((MIN(($C28),99))/100))+5.0)/(1-(((MIN(($C28),99))/100))+5.0))))*100))/100))*0.96)),(((((MIN(($B28),99))/100))+5.0)/(1-(((MIN(($B28),99))/100))+5.0))))*100))/100))*0.96)),(((((MIN((A$28),99))/100))+5.0)/(1-(((MIN((A$28),99))/100))+5.0))))*100))/100))*0.96)),(((((MIN(($I$27),99))/100))+5.0)/(1-(((MIN(($I$27),99))/100))+5.0))))*100))/100))*0.96)),(((((MIN(($I26),99))/100))+5.0)/(1-(((MIN(($I26),99))/100))+5.0))))*100))/100))*0.96)),(((((MIN((I25),99))/100))+5.0)/(1-(((MIN((I25),99))/100))+5.0))))*100))/100))*0.96)),(((((MIN((I24),99))/100))+5.0)/(1-(((MIN((I24),99))/100))+5.0))))*100))/100))*0.96)),(((((MIN((I$23),99))/100))+5.0)/(1-(((MIN((I$23),99))/100))+5.0))))*100))/100))*0.96)),(((((MIN(($I22),99))/100))+5.0)/(1-(((MIN(($I22),99))/100))+5.0))))*100))/100))*0.96)),(((((MIN((I$21),99))/100))+5.0)/(1-(((MIN((I$21),99))/100))+5.0))))*100))/100))*0.96)),(((((MIN((I$20),99))/100))+5.0)/(1-(((MIN((I$20),99))/100))+5.0))))*100))/100))*0.96)),(((((MIN((I$19),99))/100))+5.0)/(1-(((MIN((I$19),99))/100))+5.0))))*100))/100))*0.96)),(((((MIN((I$18),99))/100))+5.0)/(1-(((MIN((I$18),99))/100))+5.0))))*100))/100))*0.96)),(((((MIN((I17),99))/100))+5.0)/(1-(((MIN((I17),99))/100))+5.0))))*100))/100))*0.96)),(((((MIN(($I16),99))/100))+5.0)/(1-(((MIN(($I16),99))/100))+5.0))))*100))/100))*0.96)),(((((MIN((I$15),99))/100))+5.0)/(1-(((MIN((I$15),99))/100))+5.0))))*100))/100))*0.96)),(((((MIN(($I$14),99))/100))+5.0)/(1-(((MIN(($I$14),99))/100))+5.0))))*100))/100))*0.96)),(((((MIN((I13),99))/100))+5.0)/(1-(((MIN((I13),99))/100))+5.0))))*100))/100))*0.96)),(((((MIN(($I$12),99))/100))+5.0)/(1-(((MIN(($I$12),99))/100))+5.0))))*100),0)</f>
        <v/>
      </c>
      <c r="J2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(90)/100))*0.96)),(((((MIN(($I28),99))/100))+5.0)/(1-(((MIN(($I28),99))/100))+5.0))))*100))/100))*0.96)),(((((MIN((H28),99))/100))+5.0)/(1-(((MIN((H28),99))/100))+5.0))))*100))/100))*0.96)),(((((MIN((G28),99))/100))+5.0)/(1-(((MIN((G28),99))/100))+5.0))))*100))/100))*0.96)),(((((MIN((F$28),99))/100))+5.0)/(1-(((MIN((F$28),99))/100))+5.0))))*100))/100))*0.96)),(((((MIN(($E$28),99))/100))+5.0)/(1-(((MIN(($E$28),99))/100))+5.0))))*100))/100))*0.96)),(((((MIN((D28),99))/100))+5.0)/(1-(((MIN((D28),99))/100))+5.0))))*100))/100))*0.96)),(((((MIN(($C28),99))/100))+5.0)/(1-(((MIN(($C28),99))/100))+5.0))))*100))/100))*0.96)),(((((MIN(($B$28),99))/100))+5.0)/(1-(((MIN(($B$28),99))/100))+5.0))))*100))/100))*0.96)),(((((MIN(($J$27),99))/100))+5.0)/(1-(((MIN(($J$27),99))/100))+5.0))))*100))/100))*0.96)),(((((MIN(($J26),99))/100))+5.0)/(1-(((MIN(($J26),99))/100))+5.0))))*100))/100))*0.96)),(((((MIN(($J$25),99))/100))+5.0)/(1-(((MIN(($J$25),99))/100))+5.0))))*100))/100))*0.96)),(((((MIN((J$24),99))/100))+5.0)/(1-(((MIN((J$24),99))/100))+5.0))))*100))/100))*0.96)),(((((MIN((J23),99))/100))+5.0)/(1-(((MIN((J23),99))/100))+5.0))))*100))/100))*0.96)),(((((MIN((J22),99))/100))+5.0)/(1-(((MIN((J22),99))/100))+5.0))))*100))/100))*0.96)),(((((MIN(($J21),99))/100))+5.0)/(1-(((MIN(($J21),99))/100))+5.0))))*100))/100))*0.96)),(((((MIN((J$20),99))/100))+5.0)/(1-(((MIN((J$20),99))/100))+5.0))))*100))/100))*0.96)),(((((MIN((J19),99))/100))+5.0)/(1-(((MIN((J19),99))/100))+5.0))))*100))/100))*0.96)),(((((MIN((J18),99))/100))+5.0)/(1-(((MIN((J18),99))/100))+5.0))))*100))/100))*0.96)),(((((MIN(($J17),99))/100))+5.0)/(1-(((MIN(($J17),99))/100))+5.0))))*100))/100))*0.96)),(((((MIN(($J16),99))/100))+5.0)/(1-(((MIN(($J16),99))/100))+5.0))))*100))/100))*0.96)),(((((MIN(($J$15),99))/100))+5.0)/(1-(((MIN(($J$15),99))/100))+5.0))))*100))/100))*0.96)),(((((MIN(($J$14),99))/100))+5.0)/(1-(((MIN(($J$14),99))/100))+5.0))))*100))/100))*0.96)),(((((MIN((J13),99))/100))+5.0)/(1-(((MIN((J13),99))/100))+5.0))))*100))/100))*0.96)),(((((MIN(($J12),99))/100))+5.0)/(1-(((MIN(($J12),99))/100))+5.0))))*100),0)</f>
        <v/>
      </c>
      <c r="K2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(79)/100))*0.96)),(((((MIN(($J28),99))/100))+5.0)/(1-(((MIN(($J28),99))/100))+5.0))))*100))/100))*0.96)),(((((MIN(($I$28),99))/100))+5.0)/(1-(((MIN(($I$28),99))/100))+5.0))))*100))/100))*0.96)),(((((MIN(($H28),99))/100))+5.0)/(1-(((MIN(($H28),99))/100))+5.0))))*100))/100))*0.96)),(((((MIN(($G28),99))/100))+5.0)/(1-(((MIN(($G28),99))/100))+5.0))))*100))/100))*0.96)),(((((MIN((F$28),99))/100))+5.0)/(1-(((MIN((F$28),99))/100))+5.0))))*100))/100))*0.96)),(((((MIN(($E28),99))/100))+5.0)/(1-(((MIN(($E28),99))/100))+5.0))))*100))/100))*0.96)),(((((MIN(($D28),99))/100))+5.0)/(1-(((MIN(($D28),99))/100))+5.0))))*100))/100))*0.96)),(((((MIN(($C$28),99))/100))+5.0)/(1-(((MIN(($C$28),99))/100))+5.0))))*100))/100))*0.96)),(((((MIN((K$27),99))/100))+5.0)/(1-(((MIN((K$27),99))/100))+5.0))))*100))/100))*0.96)),(((((MIN(($K26),99))/100))+5.0)/(1-(((MIN(($K26),99))/100))+5.0))))*100))/100))*0.96)),(((((MIN(($K25),99))/100))+5.0)/(1-(((MIN(($K25),99))/100))+5.0))))*100))/100))*0.96)),(((((MIN(($K$24),99))/100))+5.0)/(1-(((MIN(($K$24),99))/100))+5.0))))*100))/100))*0.96)),(((((MIN((K$23),99))/100))+5.0)/(1-(((MIN((K$23),99))/100))+5.0))))*100))/100))*0.96)),(((((MIN(($K$22),99))/100))+5.0)/(1-(((MIN(($K$22),99))/100))+5.0))))*100))/100))*0.96)),(((((MIN(($K21),99))/100))+5.0)/(1-(((MIN(($K21),99))/100))+5.0))))*100))/100))*0.96)),(((((MIN((K20),99))/100))+5.0)/(1-(((MIN((K20),99))/100))+5.0))))*100))/100))*0.96)),(((((MIN((K19),99))/100))+5.0)/(1-(((MIN((K19),99))/100))+5.0))))*100))/100))*0.96)),(((((MIN(($K$18),99))/100))+5.0)/(1-(((MIN(($K$18),99))/100))+5.0))))*100))/100))*0.96)),(((((MIN(($K17),99))/100))+5.0)/(1-(((MIN(($K17),99))/100))+5.0))))*100))/100))*0.96)),(((((MIN((K16),99))/100))+5.0)/(1-(((MIN((K16),99))/100))+5.0))))*100))/100))*0.96)),(((((MIN((K$15),99))/100))+5.0)/(1-(((MIN((K$15),99))/100))+5.0))))*100))/100))*0.96)),(((((MIN((K$14),99))/100))+5.0)/(1-(((MIN((K$14),99))/100))+5.0))))*100))/100))*0.96)),(((((MIN((K13),99))/100))+5.0)/(1-(((MIN((K13),99))/100))+5.0))))*100))/100))*0.96)),(((((MIN((K12),99))/100))+5.0)/(1-(((MIN((K12),99))/100))+5.0))))*100),0)</f>
        <v/>
      </c>
      <c r="L2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(47)/100))*0.96)),(((((MIN((K$28),99))/100))+5.0)/(1-(((MIN((K$28),99))/100))+5.0))))*100))/100))*0.96)),(((((MIN(($J$28),99))/100))+5.0)/(1-(((MIN(($J$28),99))/100))+5.0))))*100))/100))*0.96)),(((((MIN((I28),99))/100))+5.0)/(1-(((MIN((I28),99))/100))+5.0))))*100))/100))*0.96)),(((((MIN((H28),99))/100))+5.0)/(1-(((MIN((H28),99))/100))+5.0))))*100))/100))*0.96)),(((((MIN(($G$28),99))/100))+5.0)/(1-(((MIN(($G$28),99))/100))+5.0))))*100))/100))*0.96)),(((((MIN(($F28),99))/100))+5.0)/(1-(((MIN(($F28),99))/100))+5.0))))*100))/100))*0.96)),(((((MIN((E28),99))/100))+5.0)/(1-(((MIN((E28),99))/100))+5.0))))*100))/100))*0.96)),(((((MIN(($D28),99))/100))+5.0)/(1-(((MIN(($D28),99))/100))+5.0))))*100))/100))*0.96)),(((((MIN(($L27),99))/100))+5.0)/(1-(((MIN(($L27),99))/100))+5.0))))*100))/100))*0.96)),(((((MIN(($L26),99))/100))+5.0)/(1-(((MIN(($L26),99))/100))+5.0))))*100))/100))*0.96)),(((((MIN((L25),99))/100))+5.0)/(1-(((MIN((L25),99))/100))+5.0))))*100))/100))*0.96)),(((((MIN((L$24),99))/100))+5.0)/(1-(((MIN((L$24),99))/100))+5.0))))*100))/100))*0.96)),(((((MIN((L23),99))/100))+5.0)/(1-(((MIN((L23),99))/100))+5.0))))*100))/100))*0.96)),(((((MIN(($L$22),99))/100))+5.0)/(1-(((MIN(($L$22),99))/100))+5.0))))*100))/100))*0.96)),(((((MIN((L$21),99))/100))+5.0)/(1-(((MIN((L$21),99))/100))+5.0))))*100))/100))*0.96)),(((((MIN((L20),99))/100))+5.0)/(1-(((MIN((L20),99))/100))+5.0))))*100))/100))*0.96)),(((((MIN((L19),99))/100))+5.0)/(1-(((MIN((L19),99))/100))+5.0))))*100))/100))*0.96)),(((((MIN((L$18),99))/100))+5.0)/(1-(((MIN((L$18),99))/100))+5.0))))*100))/100))*0.96)),(((((MIN(($L$17),99))/100))+5.0)/(1-(((MIN(($L$17),99))/100))+5.0))))*100))/100))*0.96)),(((((MIN((L16),99))/100))+5.0)/(1-(((MIN((L16),99))/100))+5.0))))*100))/100))*0.96)),(((((MIN((L15),99))/100))+5.0)/(1-(((MIN((L15),99))/100))+5.0))))*100))/100))*0.96)),(((((MIN((L$14),99))/100))+5.0)/(1-(((MIN((L$14),99))/100))+5.0))))*100))/100))*0.96)),(((((MIN(($L13),99))/100))+5.0)/(1-(((MIN(($L13),99))/100))+5.0))))*100))/100))*0.96)),(((((MIN((L$12),99))/100))+5.0)/(1-(((MIN((L$12),99))/100))+5.0))))*100),0)</f>
        <v/>
      </c>
      <c r="M2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(21)/100))*0.96)),(((((MIN(($L$28),99))/100))+5.0)/(1-(((MIN(($L$28),99))/100))+5.0))))*100))/100))*0.96)),(((((MIN(($K28),99))/100))+5.0)/(1-(((MIN(($K28),99))/100))+5.0))))*100))/100))*0.96)),(((((MIN(($J$28),99))/100))+5.0)/(1-(((MIN(($J$28),99))/100))+5.0))))*100))/100))*0.96)),(((((MIN((I28),99))/100))+5.0)/(1-(((MIN((I28),99))/100))+5.0))))*100))/100))*0.96)),(((((MIN(($H28),99))/100))+5.0)/(1-(((MIN(($H28),99))/100))+5.0))))*100))/100))*0.96)),(((((MIN((G28),99))/100))+5.0)/(1-(((MIN((G28),99))/100))+5.0))))*100))/100))*0.96)),(((((MIN((F28),99))/100))+5.0)/(1-(((MIN((F28),99))/100))+5.0))))*100))/100))*0.96)),(((((MIN(($E$28),99))/100))+5.0)/(1-(((MIN(($E$28),99))/100))+5.0))))*100))/100))*0.96)),(((((MIN(($M27),99))/100))+5.0)/(1-(((MIN(($M27),99))/100))+5.0))))*100))/100))*0.96)),(((((MIN(($M26),99))/100))+5.0)/(1-(((MIN(($M26),99))/100))+5.0))))*100))/100))*0.96)),(((((MIN(($M25),99))/100))+5.0)/(1-(((MIN(($M25),99))/100))+5.0))))*100))/100))*0.96)),(((((MIN(($M24),99))/100))+5.0)/(1-(((MIN(($M24),99))/100))+5.0))))*100))/100))*0.96)),(((((MIN((M23),99))/100))+5.0)/(1-(((MIN((M23),99))/100))+5.0))))*100))/100))*0.96)),(((((MIN(($M$22),99))/100))+5.0)/(1-(((MIN(($M$22),99))/100))+5.0))))*100))/100))*0.96)),(((((MIN((M$21),99))/100))+5.0)/(1-(((MIN((M$21),99))/100))+5.0))))*100))/100))*0.96)),(((((MIN(($M20),99))/100))+5.0)/(1-(((MIN(($M20),99))/100))+5.0))))*100))/100))*0.96)),(((((MIN(($M19),99))/100))+5.0)/(1-(((MIN(($M19),99))/100))+5.0))))*100))/100))*0.96)),(((((MIN(($M18),99))/100))+5.0)/(1-(((MIN(($M18),99))/100))+5.0))))*100))/100))*0.96)),(((((MIN(($M$17),99))/100))+5.0)/(1-(((MIN(($M$17),99))/100))+5.0))))*100))/100))*0.96)),(((((MIN((M16),99))/100))+5.0)/(1-(((MIN((M16),99))/100))+5.0))))*100))/100))*0.96)),(((((MIN((M$15),99))/100))+5.0)/(1-(((MIN((M$15),99))/100))+5.0))))*100))/100))*0.96)),(((((MIN((M14),99))/100))+5.0)/(1-(((MIN((M14),99))/100))+5.0))))*100))/100))*0.96)),(((((MIN((M13),99))/100))+5.0)/(1-(((MIN((M13),99))/100))+5.0))))*100))/100))*0.96)),(((((MIN((M12),99))/100))+5.0)/(1-(((MIN((M12),99))/100))+5.0))))*100),0)</f>
        <v/>
      </c>
      <c r="N2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(48)/100))*0.96)),(((((MIN(($M$28),99))/100))+5.0)/(1-(((MIN(($M$28),99))/100))+5.0))))*100))/100))*0.96)),(((((MIN((L28),99))/100))+5.0)/(1-(((MIN((L28),99))/100))+5.0))))*100))/100))*0.96)),(((((MIN(($K$28),99))/100))+5.0)/(1-(((MIN(($K$28),99))/100))+5.0))))*100))/100))*0.96)),(((((MIN((J28),99))/100))+5.0)/(1-(((MIN((J28),99))/100))+5.0))))*100))/100))*0.96)),(((((MIN((I28),99))/100))+5.0)/(1-(((MIN((I28),99))/100))+5.0))))*100))/100))*0.96)),(((((MIN((H28),99))/100))+5.0)/(1-(((MIN((H28),99))/100))+5.0))))*100))/100))*0.96)),(((((MIN(($G$28),99))/100))+5.0)/(1-(((MIN(($G$28),99))/100))+5.0))))*100))/100))*0.96)),(((((MIN(($F28),99))/100))+5.0)/(1-(((MIN(($F28),99))/100))+5.0))))*100))/100))*0.96)),(((((MIN((N$27),99))/100))+5.0)/(1-(((MIN((N$27),99))/100))+5.0))))*100))/100))*0.96)),(((((MIN((N26),99))/100))+5.0)/(1-(((MIN((N26),99))/100))+5.0))))*100))/100))*0.96)),(((((MIN((N25),99))/100))+5.0)/(1-(((MIN((N25),99))/100))+5.0))))*100))/100))*0.96)),(((((MIN((N$24),99))/100))+5.0)/(1-(((MIN((N$24),99))/100))+5.0))))*100))/100))*0.96)),(((((MIN((N23),99))/100))+5.0)/(1-(((MIN((N23),99))/100))+5.0))))*100))/100))*0.96)),(((((MIN(($N22),99))/100))+5.0)/(1-(((MIN(($N22),99))/100))+5.0))))*100))/100))*0.96)),(((((MIN(($N$21),99))/100))+5.0)/(1-(((MIN(($N$21),99))/100))+5.0))))*100))/100))*0.96)),(((((MIN(($N20),99))/100))+5.0)/(1-(((MIN(($N20),99))/100))+5.0))))*100))/100))*0.96)),(((((MIN(($N$19),99))/100))+5.0)/(1-(((MIN(($N$19),99))/100))+5.0))))*100))/100))*0.96)),(((((MIN(($N18),99))/100))+5.0)/(1-(((MIN(($N18),99))/100))+5.0))))*100))/100))*0.96)),(((((MIN(($N$17),99))/100))+5.0)/(1-(((MIN(($N$17),99))/100))+5.0))))*100))/100))*0.96)),(((((MIN(($N$16),99))/100))+5.0)/(1-(((MIN(($N$16),99))/100))+5.0))))*100))/100))*0.96)),(((((MIN((N$15),99))/100))+5.0)/(1-(((MIN((N$15),99))/100))+5.0))))*100))/100))*0.96)),(((((MIN(($N14),99))/100))+5.0)/(1-(((MIN(($N14),99))/100))+5.0))))*100))/100))*0.96)),(((((MIN((N$13),99))/100))+5.0)/(1-(((MIN((N$13),99))/100))+5.0))))*100))/100))*0.96)),(((((MIN(($N12),99))/100))+5.0)/(1-(((MIN(($N12),99))/100))+5.0))))*100),0)</f>
        <v/>
      </c>
      <c r="O2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(57)/100))*0.96)),(((((MIN(($N$28),99))/100))+5.0)/(1-(((MIN(($N$28),99))/100))+5.0))))*100))/100))*0.96)),(((((MIN((M$28),99))/100))+5.0)/(1-(((MIN((M$28),99))/100))+5.0))))*100))/100))*0.96)),(((((MIN((L$28),99))/100))+5.0)/(1-(((MIN((L$28),99))/100))+5.0))))*100))/100))*0.96)),(((((MIN(($K$28),99))/100))+5.0)/(1-(((MIN(($K$28),99))/100))+5.0))))*100))/100))*0.96)),(((((MIN(($J$28),99))/100))+5.0)/(1-(((MIN(($J$28),99))/100))+5.0))))*100))/100))*0.96)),(((((MIN(($I$28),99))/100))+5.0)/(1-(((MIN(($I$28),99))/100))+5.0))))*100))/100))*0.96)),(((((MIN((H$28),99))/100))+5.0)/(1-(((MIN((H$28),99))/100))+5.0))))*100))/100))*0.96)),(((((MIN((G28),99))/100))+5.0)/(1-(((MIN((G28),99))/100))+5.0))))*100))/100))*0.96)),(((((MIN(($O27),99))/100))+5.0)/(1-(((MIN(($O27),99))/100))+5.0))))*100))/100))*0.96)),(((((MIN((O26),99))/100))+5.0)/(1-(((MIN((O26),99))/100))+5.0))))*100))/100))*0.96)),(((((MIN((O25),99))/100))+5.0)/(1-(((MIN((O25),99))/100))+5.0))))*100))/100))*0.96)),(((((MIN(($O24),99))/100))+5.0)/(1-(((MIN(($O24),99))/100))+5.0))))*100))/100))*0.96)),(((((MIN((O$23),99))/100))+5.0)/(1-(((MIN((O$23),99))/100))+5.0))))*100))/100))*0.96)),(((((MIN(($O$22),99))/100))+5.0)/(1-(((MIN(($O$22),99))/100))+5.0))))*100))/100))*0.96)),(((((MIN(($O21),99))/100))+5.0)/(1-(((MIN(($O21),99))/100))+5.0))))*100))/100))*0.96)),(((((MIN(($O$20),99))/100))+5.0)/(1-(((MIN(($O$20),99))/100))+5.0))))*100))/100))*0.96)),(((((MIN(($O$19),99))/100))+5.0)/(1-(((MIN(($O$19),99))/100))+5.0))))*100))/100))*0.96)),(((((MIN((O18),99))/100))+5.0)/(1-(((MIN((O18),99))/100))+5.0))))*100))/100))*0.96)),(((((MIN(($O17),99))/100))+5.0)/(1-(((MIN(($O17),99))/100))+5.0))))*100))/100))*0.96)),(((((MIN(($O$16),99))/100))+5.0)/(1-(((MIN(($O$16),99))/100))+5.0))))*100))/100))*0.96)),(((((MIN(($O$15),99))/100))+5.0)/(1-(((MIN(($O$15),99))/100))+5.0))))*100))/100))*0.96)),(((((MIN((O$14),99))/100))+5.0)/(1-(((MIN((O$14),99))/100))+5.0))))*100))/100))*0.96)),(((((MIN(($O$13),99))/100))+5.0)/(1-(((MIN(($O$13),99))/100))+5.0))))*100))/100))*0.96)),(((((MIN((O$12),99))/100))+5.0)/(1-(((MIN((O$12),99))/100))+5.0))))*100),0)</f>
        <v/>
      </c>
      <c r="P2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(7)/100))*0.96)),(((((MIN(($O$28),99))/100))+5.0)/(1-(((MIN(($O$28),99))/100))+5.0))))*100))/100))*0.96)),(((((MIN((N$28),99))/100))+5.0)/(1-(((MIN((N$28),99))/100))+5.0))))*100))/100))*0.96)),(((((MIN((M$28),99))/100))+5.0)/(1-(((MIN((M$28),99))/100))+5.0))))*100))/100))*0.96)),(((((MIN(($L$28),99))/100))+5.0)/(1-(((MIN(($L$28),99))/100))+5.0))))*100))/100))*0.96)),(((((MIN(($K28),99))/100))+5.0)/(1-(((MIN(($K28),99))/100))+5.0))))*100))/100))*0.96)),(((((MIN((J$28),99))/100))+5.0)/(1-(((MIN((J$28),99))/100))+5.0))))*100))/100))*0.96)),(((((MIN(($I28),99))/100))+5.0)/(1-(((MIN(($I28),99))/100))+5.0))))*100))/100))*0.96)),(((((MIN((H28),99))/100))+5.0)/(1-(((MIN((H28),99))/100))+5.0))))*100))/100))*0.96)),(((((MIN(($P$27),99))/100))+5.0)/(1-(((MIN(($P$27),99))/100))+5.0))))*100))/100))*0.96)),(((((MIN(($P$26),99))/100))+5.0)/(1-(((MIN(($P$26),99))/100))+5.0))))*100))/100))*0.96)),(((((MIN((P25),99))/100))+5.0)/(1-(((MIN((P25),99))/100))+5.0))))*100))/100))*0.96)),(((((MIN(($P24),99))/100))+5.0)/(1-(((MIN(($P24),99))/100))+5.0))))*100))/100))*0.96)),(((((MIN((P23),99))/100))+5.0)/(1-(((MIN((P23),99))/100))+5.0))))*100))/100))*0.96)),(((((MIN(($P22),99))/100))+5.0)/(1-(((MIN(($P22),99))/100))+5.0))))*100))/100))*0.96)),(((((MIN(($P$21),99))/100))+5.0)/(1-(((MIN(($P$21),99))/100))+5.0))))*100))/100))*0.96)),(((((MIN(($P20),99))/100))+5.0)/(1-(((MIN(($P20),99))/100))+5.0))))*100))/100))*0.96)),(((((MIN((P$19),99))/100))+5.0)/(1-(((MIN((P$19),99))/100))+5.0))))*100))/100))*0.96)),(((((MIN(($P$18),99))/100))+5.0)/(1-(((MIN(($P$18),99))/100))+5.0))))*100))/100))*0.96)),(((((MIN(($P17),99))/100))+5.0)/(1-(((MIN(($P17),99))/100))+5.0))))*100))/100))*0.96)),(((((MIN(($P$16),99))/100))+5.0)/(1-(((MIN(($P$16),99))/100))+5.0))))*100))/100))*0.96)),(((((MIN((P15),99))/100))+5.0)/(1-(((MIN((P15),99))/100))+5.0))))*100))/100))*0.96)),(((((MIN(($P$14),99))/100))+5.0)/(1-(((MIN(($P$14),99))/100))+5.0))))*100))/100))*0.96)),(((((MIN(($P13),99))/100))+5.0)/(1-(((MIN(($P13),99))/100))+5.0))))*100))/100))*0.96)),(((((MIN((P12),99))/100))+5.0)/(1-(((MIN((P12),99))/100))+5.0))))*100),0)</f>
        <v/>
      </c>
      <c r="Q2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(76)/100))*0.96)),(((((MIN(($P28),99))/100))+5.0)/(1-(((MIN(($P28),99))/100))+5.0))))*100))/100))*0.96)),(((((MIN((O28),99))/100))+5.0)/(1-(((MIN((O28),99))/100))+5.0))))*100))/100))*0.96)),(((((MIN(($N28),99))/100))+5.0)/(1-(((MIN(($N28),99))/100))+5.0))))*100))/100))*0.96)),(((((MIN((M$28),99))/100))+5.0)/(1-(((MIN((M$28),99))/100))+5.0))))*100))/100))*0.96)),(((((MIN(($L$28),99))/100))+5.0)/(1-(((MIN(($L$28),99))/100))+5.0))))*100))/100))*0.96)),(((((MIN(($K28),99))/100))+5.0)/(1-(((MIN(($K28),99))/100))+5.0))))*100))/100))*0.96)),(((((MIN((J$28),99))/100))+5.0)/(1-(((MIN((J$28),99))/100))+5.0))))*100))/100))*0.96)),(((((MIN((I28),99))/100))+5.0)/(1-(((MIN((I28),99))/100))+5.0))))*100))/100))*0.96)),(((((MIN(($Q$27),99))/100))+5.0)/(1-(((MIN(($Q$27),99))/100))+5.0))))*100))/100))*0.96)),(((((MIN((Q26),99))/100))+5.0)/(1-(((MIN((Q26),99))/100))+5.0))))*100))/100))*0.96)),(((((MIN((Q$25),99))/100))+5.0)/(1-(((MIN((Q$25),99))/100))+5.0))))*100))/100))*0.96)),(((((MIN(($Q24),99))/100))+5.0)/(1-(((MIN(($Q24),99))/100))+5.0))))*100))/100))*0.96)),(((((MIN((Q$23),99))/100))+5.0)/(1-(((MIN((Q$23),99))/100))+5.0))))*100))/100))*0.96)),(((((MIN((Q22),99))/100))+5.0)/(1-(((MIN((Q22),99))/100))+5.0))))*100))/100))*0.96)),(((((MIN(($Q$21),99))/100))+5.0)/(1-(((MIN(($Q$21),99))/100))+5.0))))*100))/100))*0.96)),(((((MIN((Q$20),99))/100))+5.0)/(1-(((MIN((Q$20),99))/100))+5.0))))*100))/100))*0.96)),(((((MIN((Q19),99))/100))+5.0)/(1-(((MIN((Q19),99))/100))+5.0))))*100))/100))*0.96)),(((((MIN((Q18),99))/100))+5.0)/(1-(((MIN((Q18),99))/100))+5.0))))*100))/100))*0.96)),(((((MIN((Q$17),99))/100))+5.0)/(1-(((MIN((Q$17),99))/100))+5.0))))*100))/100))*0.96)),(((((MIN(($Q16),99))/100))+5.0)/(1-(((MIN(($Q16),99))/100))+5.0))))*100))/100))*0.96)),(((((MIN((Q15),99))/100))+5.0)/(1-(((MIN((Q15),99))/100))+5.0))))*100))/100))*0.96)),(((((MIN(($Q14),99))/100))+5.0)/(1-(((MIN(($Q14),99))/100))+5.0))))*100))/100))*0.96)),(((((MIN(($Q13),99))/100))+5.0)/(1-(((MIN(($Q13),99))/100))+5.0))))*100))/100))*0.96)),(((((MIN(($Q$12),99))/100))+5.0)/(1-(((MIN(($Q$12),99))/100))+5.0))))*100),0)</f>
        <v/>
      </c>
      <c r="R2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(88)/100))*0.96)),(((((MIN(($Q$28),99))/100))+5.0)/(1-(((MIN(($Q$28),99))/100))+5.0))))*100))/100))*0.96)),(((((MIN(($P$28),99))/100))+5.0)/(1-(((MIN(($P$28),99))/100))+5.0))))*100))/100))*0.96)),(((((MIN(($O28),99))/100))+5.0)/(1-(((MIN(($O28),99))/100))+5.0))))*100))/100))*0.96)),(((((MIN(($N$28),99))/100))+5.0)/(1-(((MIN(($N$28),99))/100))+5.0))))*100))/100))*0.96)),(((((MIN(($M28),99))/100))+5.0)/(1-(((MIN(($M28),99))/100))+5.0))))*100))/100))*0.96)),(((((MIN(($L28),99))/100))+5.0)/(1-(((MIN(($L28),99))/100))+5.0))))*100))/100))*0.96)),(((((MIN((K28),99))/100))+5.0)/(1-(((MIN((K28),99))/100))+5.0))))*100))/100))*0.96)),(((((MIN((J$28),99))/100))+5.0)/(1-(((MIN((J$28),99))/100))+5.0))))*100))/100))*0.96)),(((((MIN(($R27),99))/100))+5.0)/(1-(((MIN(($R27),99))/100))+5.0))))*100))/100))*0.96)),(((((MIN((R26),99))/100))+5.0)/(1-(((MIN((R26),99))/100))+5.0))))*100))/100))*0.96)),(((((MIN(($R25),99))/100))+5.0)/(1-(((MIN(($R25),99))/100))+5.0))))*100))/100))*0.96)),(((((MIN(($R24),99))/100))+5.0)/(1-(((MIN(($R24),99))/100))+5.0))))*100))/100))*0.96)),(((((MIN((R23),99))/100))+5.0)/(1-(((MIN((R23),99))/100))+5.0))))*100))/100))*0.96)),(((((MIN(($R22),99))/100))+5.0)/(1-(((MIN(($R22),99))/100))+5.0))))*100))/100))*0.96)),(((((MIN((R$21),99))/100))+5.0)/(1-(((MIN((R$21),99))/100))+5.0))))*100))/100))*0.96)),(((((MIN((R20),99))/100))+5.0)/(1-(((MIN((R20),99))/100))+5.0))))*100))/100))*0.96)),(((((MIN((R$19),99))/100))+5.0)/(1-(((MIN((R$19),99))/100))+5.0))))*100))/100))*0.96)),(((((MIN(($R18),99))/100))+5.0)/(1-(((MIN(($R18),99))/100))+5.0))))*100))/100))*0.96)),(((((MIN(($R17),99))/100))+5.0)/(1-(((MIN(($R17),99))/100))+5.0))))*100))/100))*0.96)),(((((MIN(($R16),99))/100))+5.0)/(1-(((MIN(($R16),99))/100))+5.0))))*100))/100))*0.96)),(((((MIN(($R15),99))/100))+5.0)/(1-(((MIN(($R15),99))/100))+5.0))))*100))/100))*0.96)),(((((MIN((R14),99))/100))+5.0)/(1-(((MIN((R14),99))/100))+5.0))))*100))/100))*0.96)),(((((MIN((R$13),99))/100))+5.0)/(1-(((MIN((R$13),99))/100))+5.0))))*100))/100))*0.96)),(((((MIN(($R$12),99))/100))+5.0)/(1-(((MIN(($R$12),99))/100))+5.0))))*100),0)</f>
        <v/>
      </c>
      <c r="S2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(24)/100))*0.96)),(((((MIN(($R$28),99))/100))+5.0)/(1-(((MIN(($R$28),99))/100))+5.0))))*100))/100))*0.96)),(((((MIN(($Q28),99))/100))+5.0)/(1-(((MIN(($Q28),99))/100))+5.0))))*100))/100))*0.96)),(((((MIN((P28),99))/100))+5.0)/(1-(((MIN((P28),99))/100))+5.0))))*100))/100))*0.96)),(((((MIN(($O28),99))/100))+5.0)/(1-(((MIN(($O28),99))/100))+5.0))))*100))/100))*0.96)),(((((MIN(($N28),99))/100))+5.0)/(1-(((MIN(($N28),99))/100))+5.0))))*100))/100))*0.96)),(((((MIN((M$28),99))/100))+5.0)/(1-(((MIN((M$28),99))/100))+5.0))))*100))/100))*0.96)),(((((MIN(($L$28),99))/100))+5.0)/(1-(((MIN(($L$28),99))/100))+5.0))))*100))/100))*0.96)),(((((MIN(($K28),99))/100))+5.0)/(1-(((MIN(($K28),99))/100))+5.0))))*100))/100))*0.96)),(((((MIN((S$27),99))/100))+5.0)/(1-(((MIN((S$27),99))/100))+5.0))))*100))/100))*0.96)),(((((MIN((S$26),99))/100))+5.0)/(1-(((MIN((S$26),99))/100))+5.0))))*100))/100))*0.96)),(((((MIN((S25),99))/100))+5.0)/(1-(((MIN((S25),99))/100))+5.0))))*100))/100))*0.96)),(((((MIN(($S24),99))/100))+5.0)/(1-(((MIN(($S24),99))/100))+5.0))))*100))/100))*0.96)),(((((MIN(($S$23),99))/100))+5.0)/(1-(((MIN(($S$23),99))/100))+5.0))))*100))/100))*0.96)),(((((MIN(($S22),99))/100))+5.0)/(1-(((MIN(($S22),99))/100))+5.0))))*100))/100))*0.96)),(((((MIN(($S21),99))/100))+5.0)/(1-(((MIN(($S21),99))/100))+5.0))))*100))/100))*0.96)),(((((MIN(($S20),99))/100))+5.0)/(1-(((MIN(($S20),99))/100))+5.0))))*100))/100))*0.96)),(((((MIN((S19),99))/100))+5.0)/(1-(((MIN((S19),99))/100))+5.0))))*100))/100))*0.96)),(((((MIN((S18),99))/100))+5.0)/(1-(((MIN((S18),99))/100))+5.0))))*100))/100))*0.96)),(((((MIN(($S$17),99))/100))+5.0)/(1-(((MIN(($S$17),99))/100))+5.0))))*100))/100))*0.96)),(((((MIN(($S$16),99))/100))+5.0)/(1-(((MIN(($S$16),99))/100))+5.0))))*100))/100))*0.96)),(((((MIN((S$15),99))/100))+5.0)/(1-(((MIN((S$15),99))/100))+5.0))))*100))/100))*0.96)),(((((MIN((S$14),99))/100))+5.0)/(1-(((MIN((S$14),99))/100))+5.0))))*100))/100))*0.96)),(((((MIN(($S13),99))/100))+5.0)/(1-(((MIN(($S13),99))/100))+5.0))))*100))/100))*0.96)),(((((MIN(($S12),99))/100))+5.0)/(1-(((MIN(($S12),99))/100))+5.0))))*100),0)</f>
        <v/>
      </c>
      <c r="T28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(61)/100))*0.96)),(((((MIN((S$28),99))/100))+5.0)/(1-(((MIN((S$28),99))/100))+5.0))))*100))/100))*0.96)),(((((MIN(($R$28),99))/100))+5.0)/(1-(((MIN(($R$28),99))/100))+5.0))))*100))/100))*0.96)),(((((MIN(($Q28),99))/100))+5.0)/(1-(((MIN(($Q28),99))/100))+5.0))))*100))/100))*0.96)),(((((MIN(($P$28),99))/100))+5.0)/(1-(((MIN(($P$28),99))/100))+5.0))))*100))/100))*0.96)),(((((MIN((O$28),99))/100))+5.0)/(1-(((MIN((O$28),99))/100))+5.0))))*100))/100))*0.96)),(((((MIN((N28),99))/100))+5.0)/(1-(((MIN((N28),99))/100))+5.0))))*100))/100))*0.96)),(((((MIN(($M28),99))/100))+5.0)/(1-(((MIN(($M28),99))/100))+5.0))))*100))/100))*0.96)),(((((MIN((L$28),99))/100))+5.0)/(1-(((MIN((L$28),99))/100))+5.0))))*100))/100))*0.96)),(((((MIN((T$27),99))/100))+5.0)/(1-(((MIN((T$27),99))/100))+5.0))))*100))/100))*0.96)),(((((MIN((T$26),99))/100))+5.0)/(1-(((MIN((T$26),99))/100))+5.0))))*100))/100))*0.96)),(((((MIN(($T25),99))/100))+5.0)/(1-(((MIN(($T25),99))/100))+5.0))))*100))/100))*0.96)),(((((MIN(($T24),99))/100))+5.0)/(1-(((MIN(($T24),99))/100))+5.0))))*100))/100))*0.96)),(((((MIN((T$23),99))/100))+5.0)/(1-(((MIN((T$23),99))/100))+5.0))))*100))/100))*0.96)),(((((MIN(($T22),99))/100))+5.0)/(1-(((MIN(($T22),99))/100))+5.0))))*100))/100))*0.96)),(((((MIN(($T21),99))/100))+5.0)/(1-(((MIN(($T21),99))/100))+5.0))))*100))/100))*0.96)),(((((MIN(($T$20),99))/100))+5.0)/(1-(((MIN(($T$20),99))/100))+5.0))))*100))/100))*0.96)),(((((MIN((T$19),99))/100))+5.0)/(1-(((MIN((T$19),99))/100))+5.0))))*100))/100))*0.96)),(((((MIN(($T18),99))/100))+5.0)/(1-(((MIN(($T18),99))/100))+5.0))))*100))/100))*0.96)),(((((MIN((T$17),99))/100))+5.0)/(1-(((MIN((T$17),99))/100))+5.0))))*100))/100))*0.96)),(((((MIN((T16),99))/100))+5.0)/(1-(((MIN((T16),99))/100))+5.0))))*100))/100))*0.96)),(((((MIN(($T15),99))/100))+5.0)/(1-(((MIN(($T15),99))/100))+5.0))))*100))/100))*0.96)),(((((MIN(($T$14),99))/100))+5.0)/(1-(((MIN(($T$14),99))/100))+5.0))))*100))/100))*0.96)),(((((MIN((T$13),99))/100))+5.0)/(1-(((MIN((T$13),99))/100))+5.0))))*100))/100))*0.96)),(((((MIN((T12),99))/100))+5.0)/(1-(((MIN((T12),99))/100))+5.0))))*100),0)</f>
        <v/>
      </c>
    </row>
    <row r="29">
      <c r="A2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(25)/100))*0.96)),(((((MIN(($A$28),99))/100))+5.0)/(1-(((MIN(($A$28),99))/100))+5.0))))*100))/100))*0.96)),(((((MIN(($A27),99))/100))+5.0)/(1-(((MIN(($A27),99))/100))+5.0))))*100))/100))*0.96)),(((((MIN(($A$26),99))/100))+5.0)/(1-(((MIN(($A$26),99))/100))+5.0))))*100))/100))*0.96)),(((((MIN((A$25),99))/100))+5.0)/(1-(((MIN((A$25),99))/100))+5.0))))*100))/100))*0.96)),(((((MIN(($A24),99))/100))+5.0)/(1-(((MIN(($A24),99))/100))+5.0))))*100))/100))*0.96)),(((((MIN(($A23),99))/100))+5.0)/(1-(((MIN(($A23),99))/100))+5.0))))*100))/100))*0.96)),(((((MIN((A$22),99))/100))+5.0)/(1-(((MIN((A$22),99))/100))+5.0))))*100))/100))*0.96)),(((((MIN(($A21),99))/100))+5.0)/(1-(((MIN(($A21),99))/100))+5.0))))*100))/100))*0.96)),(((((MIN((A20),99))/100))+5.0)/(1-(((MIN((A20),99))/100))+5.0))))*100))/100))*0.96)),(((((MIN(($A19),99))/100))+5.0)/(1-(((MIN(($A19),99))/100))+5.0))))*100))/100))*0.96)),(((((MIN(($A$18),99))/100))+5.0)/(1-(((MIN(($A$18),99))/100))+5.0))))*100))/100))*0.96)),(((((MIN(($A$17),99))/100))+5.0)/(1-(((MIN(($A$17),99))/100))+5.0))))*100))/100))*0.96)),(((((MIN(($A$16),99))/100))+5.0)/(1-(((MIN(($A$16),99))/100))+5.0))))*100))/100))*0.96)),(((((MIN(($A15),99))/100))+5.0)/(1-(((MIN(($A15),99))/100))+5.0))))*100))/100))*0.96)),(((((MIN(($A$14),99))/100))+5.0)/(1-(((MIN(($A$14),99))/100))+5.0))))*100))/100))*0.96)),(((((MIN((A13),99))/100))+5.0)/(1-(((MIN((A13),99))/100))+5.0))))*100),0)</f>
        <v/>
      </c>
      <c r="B2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(29)/100))*0.96)),(((((MIN(($A29),99))/100))+5.0)/(1-(((MIN(($A29),99))/100))+5.0))))*100))/100))*0.96)),(((((MIN(($B$28),99))/100))+5.0)/(1-(((MIN(($B$28),99))/100))+5.0))))*100))/100))*0.96)),(((((MIN(($B$27),99))/100))+5.0)/(1-(((MIN(($B$27),99))/100))+5.0))))*100))/100))*0.96)),(((((MIN(($B26),99))/100))+5.0)/(1-(((MIN(($B26),99))/100))+5.0))))*100))/100))*0.96)),(((((MIN(($B25),99))/100))+5.0)/(1-(((MIN(($B25),99))/100))+5.0))))*100))/100))*0.96)),(((((MIN((B24),99))/100))+5.0)/(1-(((MIN((B24),99))/100))+5.0))))*100))/100))*0.96)),(((((MIN((B$23),99))/100))+5.0)/(1-(((MIN((B$23),99))/100))+5.0))))*100))/100))*0.96)),(((((MIN(($B22),99))/100))+5.0)/(1-(((MIN(($B22),99))/100))+5.0))))*100))/100))*0.96)),(((((MIN((B$21),99))/100))+5.0)/(1-(((MIN((B$21),99))/100))+5.0))))*100))/100))*0.96)),(((((MIN((B$20),99))/100))+5.0)/(1-(((MIN((B$20),99))/100))+5.0))))*100))/100))*0.96)),(((((MIN((B$19),99))/100))+5.0)/(1-(((MIN((B$19),99))/100))+5.0))))*100))/100))*0.96)),(((((MIN((B18),99))/100))+5.0)/(1-(((MIN((B18),99))/100))+5.0))))*100))/100))*0.96)),(((((MIN(($B17),99))/100))+5.0)/(1-(((MIN(($B17),99))/100))+5.0))))*100))/100))*0.96)),(((((MIN((B16),99))/100))+5.0)/(1-(((MIN((B16),99))/100))+5.0))))*100))/100))*0.96)),(((((MIN((B$15),99))/100))+5.0)/(1-(((MIN((B$15),99))/100))+5.0))))*100))/100))*0.96)),(((((MIN(($B$14),99))/100))+5.0)/(1-(((MIN(($B$14),99))/100))+5.0))))*100))/100))*0.96)),(((((MIN(($B13),99))/100))+5.0)/(1-(((MIN(($B13),99))/100))+5.0))))*100),0)</f>
        <v/>
      </c>
      <c r="C2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(88)/100))*0.96)),(((((MIN(($B29),99))/100))+5.0)/(1-(((MIN(($B29),99))/100))+5.0))))*100))/100))*0.96)),(((((MIN(($A29),99))/100))+5.0)/(1-(((MIN(($A29),99))/100))+5.0))))*100))/100))*0.96)),(((((MIN((C$28),99))/100))+5.0)/(1-(((MIN((C$28),99))/100))+5.0))))*100))/100))*0.96)),(((((MIN((C$27),99))/100))+5.0)/(1-(((MIN((C$27),99))/100))+5.0))))*100))/100))*0.96)),(((((MIN((C26),99))/100))+5.0)/(1-(((MIN((C26),99))/100))+5.0))))*100))/100))*0.96)),(((((MIN(($C25),99))/100))+5.0)/(1-(((MIN(($C25),99))/100))+5.0))))*100))/100))*0.96)),(((((MIN((C24),99))/100))+5.0)/(1-(((MIN((C24),99))/100))+5.0))))*100))/100))*0.96)),(((((MIN(($C$23),99))/100))+5.0)/(1-(((MIN(($C$23),99))/100))+5.0))))*100))/100))*0.96)),(((((MIN(($C22),99))/100))+5.0)/(1-(((MIN(($C22),99))/100))+5.0))))*100))/100))*0.96)),(((((MIN(($C$21),99))/100))+5.0)/(1-(((MIN(($C$21),99))/100))+5.0))))*100))/100))*0.96)),(((((MIN((C$20),99))/100))+5.0)/(1-(((MIN((C$20),99))/100))+5.0))))*100))/100))*0.96)),(((((MIN((C19),99))/100))+5.0)/(1-(((MIN((C19),99))/100))+5.0))))*100))/100))*0.96)),(((((MIN(($C$18),99))/100))+5.0)/(1-(((MIN(($C$18),99))/100))+5.0))))*100))/100))*0.96)),(((((MIN((C17),99))/100))+5.0)/(1-(((MIN((C17),99))/100))+5.0))))*100))/100))*0.96)),(((((MIN((C16),99))/100))+5.0)/(1-(((MIN((C16),99))/100))+5.0))))*100))/100))*0.96)),(((((MIN(($C$15),99))/100))+5.0)/(1-(((MIN(($C$15),99))/100))+5.0))))*100))/100))*0.96)),(((((MIN((C$14),99))/100))+5.0)/(1-(((MIN((C$14),99))/100))+5.0))))*100))/100))*0.96)),(((((MIN((C$13),99))/100))+5.0)/(1-(((MIN((C$13),99))/100))+5.0))))*100),0)</f>
        <v/>
      </c>
      <c r="D2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(18)/100))*0.96)),(((((MIN((C29),99))/100))+5.0)/(1-(((MIN((C29),99))/100))+5.0))))*100))/100))*0.96)),(((((MIN((B29),99))/100))+5.0)/(1-(((MIN((B29),99))/100))+5.0))))*100))/100))*0.96)),(((((MIN(($A$29),99))/100))+5.0)/(1-(((MIN(($A$29),99))/100))+5.0))))*100))/100))*0.96)),(((((MIN(($D28),99))/100))+5.0)/(1-(((MIN(($D28),99))/100))+5.0))))*100))/100))*0.96)),(((((MIN((D27),99))/100))+5.0)/(1-(((MIN((D27),99))/100))+5.0))))*100))/100))*0.96)),(((((MIN((D26),99))/100))+5.0)/(1-(((MIN((D26),99))/100))+5.0))))*100))/100))*0.96)),(((((MIN((D$25),99))/100))+5.0)/(1-(((MIN((D$25),99))/100))+5.0))))*100))/100))*0.96)),(((((MIN((D$24),99))/100))+5.0)/(1-(((MIN((D$24),99))/100))+5.0))))*100))/100))*0.96)),(((((MIN(($D23),99))/100))+5.0)/(1-(((MIN(($D23),99))/100))+5.0))))*100))/100))*0.96)),(((((MIN((D$22),99))/100))+5.0)/(1-(((MIN((D$22),99))/100))+5.0))))*100))/100))*0.96)),(((((MIN(($D21),99))/100))+5.0)/(1-(((MIN(($D21),99))/100))+5.0))))*100))/100))*0.96)),(((((MIN((D20),99))/100))+5.0)/(1-(((MIN((D20),99))/100))+5.0))))*100))/100))*0.96)),(((((MIN(($D19),99))/100))+5.0)/(1-(((MIN(($D19),99))/100))+5.0))))*100))/100))*0.96)),(((((MIN((D$18),99))/100))+5.0)/(1-(((MIN((D$18),99))/100))+5.0))))*100))/100))*0.96)),(((((MIN((D17),99))/100))+5.0)/(1-(((MIN((D17),99))/100))+5.0))))*100))/100))*0.96)),(((((MIN(($D16),99))/100))+5.0)/(1-(((MIN(($D16),99))/100))+5.0))))*100))/100))*0.96)),(((((MIN(($D15),99))/100))+5.0)/(1-(((MIN(($D15),99))/100))+5.0))))*100))/100))*0.96)),(((((MIN((D$14),99))/100))+5.0)/(1-(((MIN((D$14),99))/100))+5.0))))*100))/100))*0.96)),(((((MIN(($D$13),99))/100))+5.0)/(1-(((MIN(($D$13),99))/100))+5.0))))*100),0)</f>
        <v/>
      </c>
      <c r="E2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(50)/100))*0.96)),(((((MIN((D29),99))/100))+5.0)/(1-(((MIN((D29),99))/100))+5.0))))*100))/100))*0.96)),(((((MIN(($C$29),99))/100))+5.0)/(1-(((MIN(($C$29),99))/100))+5.0))))*100))/100))*0.96)),(((((MIN((B$29),99))/100))+5.0)/(1-(((MIN((B$29),99))/100))+5.0))))*100))/100))*0.96)),(((((MIN((A$29),99))/100))+5.0)/(1-(((MIN((A$29),99))/100))+5.0))))*100))/100))*0.96)),(((((MIN(($E$28),99))/100))+5.0)/(1-(((MIN(($E$28),99))/100))+5.0))))*100))/100))*0.96)),(((((MIN(($E27),99))/100))+5.0)/(1-(((MIN(($E27),99))/100))+5.0))))*100))/100))*0.96)),(((((MIN((E26),99))/100))+5.0)/(1-(((MIN((E26),99))/100))+5.0))))*100))/100))*0.96)),(((((MIN(($E$25),99))/100))+5.0)/(1-(((MIN(($E$25),99))/100))+5.0))))*100))/100))*0.96)),(((((MIN((E$24),99))/100))+5.0)/(1-(((MIN((E$24),99))/100))+5.0))))*100))/100))*0.96)),(((((MIN((E$23),99))/100))+5.0)/(1-(((MIN((E$23),99))/100))+5.0))))*100))/100))*0.96)),(((((MIN((E$22),99))/100))+5.0)/(1-(((MIN((E$22),99))/100))+5.0))))*100))/100))*0.96)),(((((MIN(($E21),99))/100))+5.0)/(1-(((MIN(($E21),99))/100))+5.0))))*100))/100))*0.96)),(((((MIN(($E20),99))/100))+5.0)/(1-(((MIN(($E20),99))/100))+5.0))))*100))/100))*0.96)),(((((MIN(($E$19),99))/100))+5.0)/(1-(((MIN(($E$19),99))/100))+5.0))))*100))/100))*0.96)),(((((MIN((E$18),99))/100))+5.0)/(1-(((MIN((E$18),99))/100))+5.0))))*100))/100))*0.96)),(((((MIN(($E17),99))/100))+5.0)/(1-(((MIN(($E17),99))/100))+5.0))))*100))/100))*0.96)),(((((MIN(($E16),99))/100))+5.0)/(1-(((MIN(($E16),99))/100))+5.0))))*100))/100))*0.96)),(((((MIN((E$15),99))/100))+5.0)/(1-(((MIN((E$15),99))/100))+5.0))))*100))/100))*0.96)),(((((MIN(($E14),99))/100))+5.0)/(1-(((MIN(($E14),99))/100))+5.0))))*100))/100))*0.96)),(((((MIN(($E$13),99))/100))+5.0)/(1-(((MIN(($E$13),99))/100))+5.0))))*100),0)</f>
        <v/>
      </c>
      <c r="F2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(84)/100))*0.96)),(((((MIN((E29),99))/100))+5.0)/(1-(((MIN((E29),99))/100))+5.0))))*100))/100))*0.96)),(((((MIN(($D$29),99))/100))+5.0)/(1-(((MIN(($D$29),99))/100))+5.0))))*100))/100))*0.96)),(((((MIN(($C29),99))/100))+5.0)/(1-(((MIN(($C29),99))/100))+5.0))))*100))/100))*0.96)),(((((MIN(($B$29),99))/100))+5.0)/(1-(((MIN(($B$29),99))/100))+5.0))))*100))/100))*0.96)),(((((MIN((A29),99))/100))+5.0)/(1-(((MIN((A29),99))/100))+5.0))))*100))/100))*0.96)),(((((MIN(($F$28),99))/100))+5.0)/(1-(((MIN(($F$28),99))/100))+5.0))))*100))/100))*0.96)),(((((MIN((F27),99))/100))+5.0)/(1-(((MIN((F27),99))/100))+5.0))))*100))/100))*0.96)),(((((MIN((F26),99))/100))+5.0)/(1-(((MIN((F26),99))/100))+5.0))))*100))/100))*0.96)),(((((MIN((F$25),99))/100))+5.0)/(1-(((MIN((F$25),99))/100))+5.0))))*100))/100))*0.96)),(((((MIN(($F24),99))/100))+5.0)/(1-(((MIN(($F24),99))/100))+5.0))))*100))/100))*0.96)),(((((MIN((F23),99))/100))+5.0)/(1-(((MIN((F23),99))/100))+5.0))))*100))/100))*0.96)),(((((MIN(($F22),99))/100))+5.0)/(1-(((MIN(($F22),99))/100))+5.0))))*100))/100))*0.96)),(((((MIN((F21),99))/100))+5.0)/(1-(((MIN((F21),99))/100))+5.0))))*100))/100))*0.96)),(((((MIN(($F20),99))/100))+5.0)/(1-(((MIN(($F20),99))/100))+5.0))))*100))/100))*0.96)),(((((MIN(($F$19),99))/100))+5.0)/(1-(((MIN(($F$19),99))/100))+5.0))))*100))/100))*0.96)),(((((MIN(($F18),99))/100))+5.0)/(1-(((MIN(($F18),99))/100))+5.0))))*100))/100))*0.96)),(((((MIN((F$17),99))/100))+5.0)/(1-(((MIN((F$17),99))/100))+5.0))))*100))/100))*0.96)),(((((MIN((F16),99))/100))+5.0)/(1-(((MIN((F16),99))/100))+5.0))))*100))/100))*0.96)),(((((MIN(($F$15),99))/100))+5.0)/(1-(((MIN(($F$15),99))/100))+5.0))))*100))/100))*0.96)),(((((MIN(($F14),99))/100))+5.0)/(1-(((MIN(($F14),99))/100))+5.0))))*100))/100))*0.96)),(((((MIN(($F13),99))/100))+5.0)/(1-(((MIN(($F13),99))/100))+5.0))))*100),0)</f>
        <v/>
      </c>
      <c r="G2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(6)/100))*0.96)),(((((MIN((F$29),99))/100))+5.0)/(1-(((MIN((F$29),99))/100))+5.0))))*100))/100))*0.96)),(((((MIN((E29),99))/100))+5.0)/(1-(((MIN((E29),99))/100))+5.0))))*100))/100))*0.96)),(((((MIN(($D$29),99))/100))+5.0)/(1-(((MIN(($D$29),99))/100))+5.0))))*100))/100))*0.96)),(((((MIN((C$29),99))/100))+5.0)/(1-(((MIN((C$29),99))/100))+5.0))))*100))/100))*0.96)),(((((MIN((B$29),99))/100))+5.0)/(1-(((MIN((B$29),99))/100))+5.0))))*100))/100))*0.96)),(((((MIN((A$29),99))/100))+5.0)/(1-(((MIN((A$29),99))/100))+5.0))))*100))/100))*0.96)),(((((MIN((G28),99))/100))+5.0)/(1-(((MIN((G28),99))/100))+5.0))))*100))/100))*0.96)),(((((MIN((G$27),99))/100))+5.0)/(1-(((MIN((G$27),99))/100))+5.0))))*100))/100))*0.96)),(((((MIN((G$26),99))/100))+5.0)/(1-(((MIN((G$26),99))/100))+5.0))))*100))/100))*0.96)),(((((MIN(($G25),99))/100))+5.0)/(1-(((MIN(($G25),99))/100))+5.0))))*100))/100))*0.96)),(((((MIN((G$24),99))/100))+5.0)/(1-(((MIN((G$24),99))/100))+5.0))))*100))/100))*0.96)),(((((MIN((G23),99))/100))+5.0)/(1-(((MIN((G23),99))/100))+5.0))))*100))/100))*0.96)),(((((MIN((G$22),99))/100))+5.0)/(1-(((MIN((G$22),99))/100))+5.0))))*100))/100))*0.96)),(((((MIN(($G21),99))/100))+5.0)/(1-(((MIN(($G21),99))/100))+5.0))))*100))/100))*0.96)),(((((MIN((G20),99))/100))+5.0)/(1-(((MIN((G20),99))/100))+5.0))))*100))/100))*0.96)),(((((MIN((G$19),99))/100))+5.0)/(1-(((MIN((G$19),99))/100))+5.0))))*100))/100))*0.96)),(((((MIN(($G$18),99))/100))+5.0)/(1-(((MIN(($G$18),99))/100))+5.0))))*100))/100))*0.96)),(((((MIN((G17),99))/100))+5.0)/(1-(((MIN((G17),99))/100))+5.0))))*100))/100))*0.96)),(((((MIN(($G16),99))/100))+5.0)/(1-(((MIN(($G16),99))/100))+5.0))))*100))/100))*0.96)),(((((MIN((G15),99))/100))+5.0)/(1-(((MIN((G15),99))/100))+5.0))))*100))/100))*0.96)),(((((MIN((G$14),99))/100))+5.0)/(1-(((MIN((G$14),99))/100))+5.0))))*100))/100))*0.96)),(((((MIN(($G$13),99))/100))+5.0)/(1-(((MIN(($G$13),99))/100))+5.0))))*100),0)</f>
        <v/>
      </c>
      <c r="H2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(88)/100))*0.96)),(((((MIN((G$29),99))/100))+5.0)/(1-(((MIN((G$29),99))/100))+5.0))))*100))/100))*0.96)),(((((MIN(($F29),99))/100))+5.0)/(1-(((MIN(($F29),99))/100))+5.0))))*100))/100))*0.96)),(((((MIN((E29),99))/100))+5.0)/(1-(((MIN((E29),99))/100))+5.0))))*100))/100))*0.96)),(((((MIN(($D$29),99))/100))+5.0)/(1-(((MIN(($D$29),99))/100))+5.0))))*100))/100))*0.96)),(((((MIN((C$29),99))/100))+5.0)/(1-(((MIN((C$29),99))/100))+5.0))))*100))/100))*0.96)),(((((MIN(($B29),99))/100))+5.0)/(1-(((MIN(($B29),99))/100))+5.0))))*100))/100))*0.96)),(((((MIN(($A$29),99))/100))+5.0)/(1-(((MIN(($A$29),99))/100))+5.0))))*100))/100))*0.96)),(((((MIN((H$28),99))/100))+5.0)/(1-(((MIN((H$28),99))/100))+5.0))))*100))/100))*0.96)),(((((MIN((H27),99))/100))+5.0)/(1-(((MIN((H27),99))/100))+5.0))))*100))/100))*0.96)),(((((MIN(($H26),99))/100))+5.0)/(1-(((MIN(($H26),99))/100))+5.0))))*100))/100))*0.96)),(((((MIN(($H$25),99))/100))+5.0)/(1-(((MIN(($H$25),99))/100))+5.0))))*100))/100))*0.96)),(((((MIN(($H$24),99))/100))+5.0)/(1-(((MIN(($H$24),99))/100))+5.0))))*100))/100))*0.96)),(((((MIN(($H23),99))/100))+5.0)/(1-(((MIN(($H23),99))/100))+5.0))))*100))/100))*0.96)),(((((MIN(($H$22),99))/100))+5.0)/(1-(((MIN(($H$22),99))/100))+5.0))))*100))/100))*0.96)),(((((MIN(($H$21),99))/100))+5.0)/(1-(((MIN(($H$21),99))/100))+5.0))))*100))/100))*0.96)),(((((MIN((H20),99))/100))+5.0)/(1-(((MIN((H20),99))/100))+5.0))))*100))/100))*0.96)),(((((MIN(($H$19),99))/100))+5.0)/(1-(((MIN(($H$19),99))/100))+5.0))))*100))/100))*0.96)),(((((MIN(($H$18),99))/100))+5.0)/(1-(((MIN(($H$18),99))/100))+5.0))))*100))/100))*0.96)),(((((MIN(($H17),99))/100))+5.0)/(1-(((MIN(($H17),99))/100))+5.0))))*100))/100))*0.96)),(((((MIN((H$16),99))/100))+5.0)/(1-(((MIN((H$16),99))/100))+5.0))))*100))/100))*0.96)),(((((MIN((H15),99))/100))+5.0)/(1-(((MIN((H15),99))/100))+5.0))))*100))/100))*0.96)),(((((MIN((H$14),99))/100))+5.0)/(1-(((MIN((H$14),99))/100))+5.0))))*100))/100))*0.96)),(((((MIN(($H$13),99))/100))+5.0)/(1-(((MIN(($H$13),99))/100))+5.0))))*100),0)</f>
        <v/>
      </c>
      <c r="I2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(71)/100))*0.96)),(((((MIN(($H$29),99))/100))+5.0)/(1-(((MIN(($H$29),99))/100))+5.0))))*100))/100))*0.96)),(((((MIN(($G$29),99))/100))+5.0)/(1-(((MIN(($G$29),99))/100))+5.0))))*100))/100))*0.96)),(((((MIN((F$29),99))/100))+5.0)/(1-(((MIN((F$29),99))/100))+5.0))))*100))/100))*0.96)),(((((MIN(($E29),99))/100))+5.0)/(1-(((MIN(($E29),99))/100))+5.0))))*100))/100))*0.96)),(((((MIN((D$29),99))/100))+5.0)/(1-(((MIN((D$29),99))/100))+5.0))))*100))/100))*0.96)),(((((MIN((C$29),99))/100))+5.0)/(1-(((MIN((C$29),99))/100))+5.0))))*100))/100))*0.96)),(((((MIN((B29),99))/100))+5.0)/(1-(((MIN((B29),99))/100))+5.0))))*100))/100))*0.96)),(((((MIN((A$29),99))/100))+5.0)/(1-(((MIN((A$29),99))/100))+5.0))))*100))/100))*0.96)),(((((MIN((I28),99))/100))+5.0)/(1-(((MIN((I28),99))/100))+5.0))))*100))/100))*0.96)),(((((MIN((I$27),99))/100))+5.0)/(1-(((MIN((I$27),99))/100))+5.0))))*100))/100))*0.96)),(((((MIN((I26),99))/100))+5.0)/(1-(((MIN((I26),99))/100))+5.0))))*100))/100))*0.96)),(((((MIN((I$25),99))/100))+5.0)/(1-(((MIN((I$25),99))/100))+5.0))))*100))/100))*0.96)),(((((MIN((I$24),99))/100))+5.0)/(1-(((MIN((I$24),99))/100))+5.0))))*100))/100))*0.96)),(((((MIN(($I$23),99))/100))+5.0)/(1-(((MIN(($I$23),99))/100))+5.0))))*100))/100))*0.96)),(((((MIN((I22),99))/100))+5.0)/(1-(((MIN((I22),99))/100))+5.0))))*100))/100))*0.96)),(((((MIN((I$21),99))/100))+5.0)/(1-(((MIN((I$21),99))/100))+5.0))))*100))/100))*0.96)),(((((MIN((I20),99))/100))+5.0)/(1-(((MIN((I20),99))/100))+5.0))))*100))/100))*0.96)),(((((MIN(($I19),99))/100))+5.0)/(1-(((MIN(($I19),99))/100))+5.0))))*100))/100))*0.96)),(((((MIN((I18),99))/100))+5.0)/(1-(((MIN((I18),99))/100))+5.0))))*100))/100))*0.96)),(((((MIN((I17),99))/100))+5.0)/(1-(((MIN((I17),99))/100))+5.0))))*100))/100))*0.96)),(((((MIN(($I$16),99))/100))+5.0)/(1-(((MIN(($I$16),99))/100))+5.0))))*100))/100))*0.96)),(((((MIN(($I15),99))/100))+5.0)/(1-(((MIN(($I15),99))/100))+5.0))))*100))/100))*0.96)),(((((MIN(($I$14),99))/100))+5.0)/(1-(((MIN(($I$14),99))/100))+5.0))))*100))/100))*0.96)),(((((MIN(($I$13),99))/100))+5.0)/(1-(((MIN(($I$13),99))/100))+5.0))))*100),0)</f>
        <v/>
      </c>
      <c r="J2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(36)/100))*0.96)),(((((MIN(($I$29),99))/100))+5.0)/(1-(((MIN(($I$29),99))/100))+5.0))))*100))/100))*0.96)),(((((MIN((H$29),99))/100))+5.0)/(1-(((MIN((H$29),99))/100))+5.0))))*100))/100))*0.96)),(((((MIN(($G29),99))/100))+5.0)/(1-(((MIN(($G29),99))/100))+5.0))))*100))/100))*0.96)),(((((MIN((F29),99))/100))+5.0)/(1-(((MIN((F29),99))/100))+5.0))))*100))/100))*0.96)),(((((MIN(($E$29),99))/100))+5.0)/(1-(((MIN(($E$29),99))/100))+5.0))))*100))/100))*0.96)),(((((MIN(($D$29),99))/100))+5.0)/(1-(((MIN(($D$29),99))/100))+5.0))))*100))/100))*0.96)),(((((MIN(($C$29),99))/100))+5.0)/(1-(((MIN(($C$29),99))/100))+5.0))))*100))/100))*0.96)),(((((MIN((B$29),99))/100))+5.0)/(1-(((MIN((B$29),99))/100))+5.0))))*100))/100))*0.96)),(((((MIN((J28),99))/100))+5.0)/(1-(((MIN((J28),99))/100))+5.0))))*100))/100))*0.96)),(((((MIN((J$27),99))/100))+5.0)/(1-(((MIN((J$27),99))/100))+5.0))))*100))/100))*0.96)),(((((MIN(($J$26),99))/100))+5.0)/(1-(((MIN(($J$26),99))/100))+5.0))))*100))/100))*0.96)),(((((MIN(($J25),99))/100))+5.0)/(1-(((MIN(($J25),99))/100))+5.0))))*100))/100))*0.96)),(((((MIN((J$24),99))/100))+5.0)/(1-(((MIN((J$24),99))/100))+5.0))))*100))/100))*0.96)),(((((MIN((J23),99))/100))+5.0)/(1-(((MIN((J23),99))/100))+5.0))))*100))/100))*0.96)),(((((MIN(($J$22),99))/100))+5.0)/(1-(((MIN(($J$22),99))/100))+5.0))))*100))/100))*0.96)),(((((MIN((J21),99))/100))+5.0)/(1-(((MIN((J21),99))/100))+5.0))))*100))/100))*0.96)),(((((MIN(($J20),99))/100))+5.0)/(1-(((MIN(($J20),99))/100))+5.0))))*100))/100))*0.96)),(((((MIN(($J19),99))/100))+5.0)/(1-(((MIN(($J19),99))/100))+5.0))))*100))/100))*0.96)),(((((MIN((J$18),99))/100))+5.0)/(1-(((MIN((J$18),99))/100))+5.0))))*100))/100))*0.96)),(((((MIN((J$17),99))/100))+5.0)/(1-(((MIN((J$17),99))/100))+5.0))))*100))/100))*0.96)),(((((MIN(($J16),99))/100))+5.0)/(1-(((MIN(($J16),99))/100))+5.0))))*100))/100))*0.96)),(((((MIN(($J15),99))/100))+5.0)/(1-(((MIN(($J15),99))/100))+5.0))))*100))/100))*0.96)),(((((MIN(($J14),99))/100))+5.0)/(1-(((MIN(($J14),99))/100))+5.0))))*100))/100))*0.96)),(((((MIN((J$13),99))/100))+5.0)/(1-(((MIN((J$13),99))/100))+5.0))))*100),0)</f>
        <v/>
      </c>
      <c r="K2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(80)/100))*0.96)),(((((MIN((J$29),99))/100))+5.0)/(1-(((MIN((J$29),99))/100))+5.0))))*100))/100))*0.96)),(((((MIN((I$29),99))/100))+5.0)/(1-(((MIN((I$29),99))/100))+5.0))))*100))/100))*0.96)),(((((MIN((H29),99))/100))+5.0)/(1-(((MIN((H29),99))/100))+5.0))))*100))/100))*0.96)),(((((MIN((G$29),99))/100))+5.0)/(1-(((MIN((G$29),99))/100))+5.0))))*100))/100))*0.96)),(((((MIN((F$29),99))/100))+5.0)/(1-(((MIN((F$29),99))/100))+5.0))))*100))/100))*0.96)),(((((MIN((E29),99))/100))+5.0)/(1-(((MIN((E29),99))/100))+5.0))))*100))/100))*0.96)),(((((MIN((D$29),99))/100))+5.0)/(1-(((MIN((D$29),99))/100))+5.0))))*100))/100))*0.96)),(((((MIN((C29),99))/100))+5.0)/(1-(((MIN((C29),99))/100))+5.0))))*100))/100))*0.96)),(((((MIN((K$28),99))/100))+5.0)/(1-(((MIN((K$28),99))/100))+5.0))))*100))/100))*0.96)),(((((MIN(($K$27),99))/100))+5.0)/(1-(((MIN(($K$27),99))/100))+5.0))))*100))/100))*0.96)),(((((MIN(($K26),99))/100))+5.0)/(1-(((MIN(($K26),99))/100))+5.0))))*100))/100))*0.96)),(((((MIN(($K$25),99))/100))+5.0)/(1-(((MIN(($K$25),99))/100))+5.0))))*100))/100))*0.96)),(((((MIN(($K24),99))/100))+5.0)/(1-(((MIN(($K24),99))/100))+5.0))))*100))/100))*0.96)),(((((MIN(($K$23),99))/100))+5.0)/(1-(((MIN(($K$23),99))/100))+5.0))))*100))/100))*0.96)),(((((MIN(($K$22),99))/100))+5.0)/(1-(((MIN(($K$22),99))/100))+5.0))))*100))/100))*0.96)),(((((MIN(($K21),99))/100))+5.0)/(1-(((MIN(($K21),99))/100))+5.0))))*100))/100))*0.96)),(((((MIN((K20),99))/100))+5.0)/(1-(((MIN((K20),99))/100))+5.0))))*100))/100))*0.96)),(((((MIN((K$19),99))/100))+5.0)/(1-(((MIN((K$19),99))/100))+5.0))))*100))/100))*0.96)),(((((MIN(($K$18),99))/100))+5.0)/(1-(((MIN(($K$18),99))/100))+5.0))))*100))/100))*0.96)),(((((MIN(($K$17),99))/100))+5.0)/(1-(((MIN(($K$17),99))/100))+5.0))))*100))/100))*0.96)),(((((MIN((K16),99))/100))+5.0)/(1-(((MIN((K16),99))/100))+5.0))))*100))/100))*0.96)),(((((MIN(($K15),99))/100))+5.0)/(1-(((MIN(($K15),99))/100))+5.0))))*100))/100))*0.96)),(((((MIN((K$14),99))/100))+5.0)/(1-(((MIN((K$14),99))/100))+5.0))))*100))/100))*0.96)),(((((MIN((K13),99))/100))+5.0)/(1-(((MIN((K13),99))/100))+5.0))))*100),0)</f>
        <v/>
      </c>
      <c r="L2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(21)/100))*0.96)),(((((MIN((K29),99))/100))+5.0)/(1-(((MIN((K29),99))/100))+5.0))))*100))/100))*0.96)),(((((MIN((J$29),99))/100))+5.0)/(1-(((MIN((J$29),99))/100))+5.0))))*100))/100))*0.96)),(((((MIN(($I29),99))/100))+5.0)/(1-(((MIN(($I29),99))/100))+5.0))))*100))/100))*0.96)),(((((MIN(($H$29),99))/100))+5.0)/(1-(((MIN(($H$29),99))/100))+5.0))))*100))/100))*0.96)),(((((MIN((G$29),99))/100))+5.0)/(1-(((MIN((G$29),99))/100))+5.0))))*100))/100))*0.96)),(((((MIN((F$29),99))/100))+5.0)/(1-(((MIN((F$29),99))/100))+5.0))))*100))/100))*0.96)),(((((MIN(($E$29),99))/100))+5.0)/(1-(((MIN(($E$29),99))/100))+5.0))))*100))/100))*0.96)),(((((MIN((D29),99))/100))+5.0)/(1-(((MIN((D29),99))/100))+5.0))))*100))/100))*0.96)),(((((MIN((L$28),99))/100))+5.0)/(1-(((MIN((L$28),99))/100))+5.0))))*100))/100))*0.96)),(((((MIN(($L27),99))/100))+5.0)/(1-(((MIN(($L27),99))/100))+5.0))))*100))/100))*0.96)),(((((MIN(($L$26),99))/100))+5.0)/(1-(((MIN(($L$26),99))/100))+5.0))))*100))/100))*0.96)),(((((MIN((L$25),99))/100))+5.0)/(1-(((MIN((L$25),99))/100))+5.0))))*100))/100))*0.96)),(((((MIN((L$24),99))/100))+5.0)/(1-(((MIN((L$24),99))/100))+5.0))))*100))/100))*0.96)),(((((MIN((L$23),99))/100))+5.0)/(1-(((MIN((L$23),99))/100))+5.0))))*100))/100))*0.96)),(((((MIN((L22),99))/100))+5.0)/(1-(((MIN((L22),99))/100))+5.0))))*100))/100))*0.96)),(((((MIN(($L$21),99))/100))+5.0)/(1-(((MIN(($L$21),99))/100))+5.0))))*100))/100))*0.96)),(((((MIN((L$20),99))/100))+5.0)/(1-(((MIN((L$20),99))/100))+5.0))))*100))/100))*0.96)),(((((MIN(($L$19),99))/100))+5.0)/(1-(((MIN(($L$19),99))/100))+5.0))))*100))/100))*0.96)),(((((MIN(($L18),99))/100))+5.0)/(1-(((MIN(($L18),99))/100))+5.0))))*100))/100))*0.96)),(((((MIN(($L17),99))/100))+5.0)/(1-(((MIN(($L17),99))/100))+5.0))))*100))/100))*0.96)),(((((MIN(($L16),99))/100))+5.0)/(1-(((MIN(($L16),99))/100))+5.0))))*100))/100))*0.96)),(((((MIN((L$15),99))/100))+5.0)/(1-(((MIN((L$15),99))/100))+5.0))))*100))/100))*0.96)),(((((MIN(($L$14),99))/100))+5.0)/(1-(((MIN(($L$14),99))/100))+5.0))))*100))/100))*0.96)),(((((MIN(($L13),99))/100))+5.0)/(1-(((MIN(($L13),99))/100))+5.0))))*100),0)</f>
        <v/>
      </c>
      <c r="M2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(17)/100))*0.96)),(((((MIN((L29),99))/100))+5.0)/(1-(((MIN((L29),99))/100))+5.0))))*100))/100))*0.96)),(((((MIN((K29),99))/100))+5.0)/(1-(((MIN((K29),99))/100))+5.0))))*100))/100))*0.96)),(((((MIN(($J$29),99))/100))+5.0)/(1-(((MIN(($J$29),99))/100))+5.0))))*100))/100))*0.96)),(((((MIN(($I29),99))/100))+5.0)/(1-(((MIN(($I29),99))/100))+5.0))))*100))/100))*0.96)),(((((MIN(($H$29),99))/100))+5.0)/(1-(((MIN(($H$29),99))/100))+5.0))))*100))/100))*0.96)),(((((MIN((G29),99))/100))+5.0)/(1-(((MIN((G29),99))/100))+5.0))))*100))/100))*0.96)),(((((MIN(($F29),99))/100))+5.0)/(1-(((MIN(($F29),99))/100))+5.0))))*100))/100))*0.96)),(((((MIN(($E29),99))/100))+5.0)/(1-(((MIN(($E29),99))/100))+5.0))))*100))/100))*0.96)),(((((MIN(($M28),99))/100))+5.0)/(1-(((MIN(($M28),99))/100))+5.0))))*100))/100))*0.96)),(((((MIN(($M27),99))/100))+5.0)/(1-(((MIN(($M27),99))/100))+5.0))))*100))/100))*0.96)),(((((MIN(($M26),99))/100))+5.0)/(1-(((MIN(($M26),99))/100))+5.0))))*100))/100))*0.96)),(((((MIN((M25),99))/100))+5.0)/(1-(((MIN((M25),99))/100))+5.0))))*100))/100))*0.96)),(((((MIN((M$24),99))/100))+5.0)/(1-(((MIN((M$24),99))/100))+5.0))))*100))/100))*0.96)),(((((MIN(($M23),99))/100))+5.0)/(1-(((MIN(($M23),99))/100))+5.0))))*100))/100))*0.96)),(((((MIN(($M22),99))/100))+5.0)/(1-(((MIN(($M22),99))/100))+5.0))))*100))/100))*0.96)),(((((MIN((M$21),99))/100))+5.0)/(1-(((MIN((M$21),99))/100))+5.0))))*100))/100))*0.96)),(((((MIN((M20),99))/100))+5.0)/(1-(((MIN((M20),99))/100))+5.0))))*100))/100))*0.96)),(((((MIN((M$19),99))/100))+5.0)/(1-(((MIN((M$19),99))/100))+5.0))))*100))/100))*0.96)),(((((MIN((M$18),99))/100))+5.0)/(1-(((MIN((M$18),99))/100))+5.0))))*100))/100))*0.96)),(((((MIN(($M$17),99))/100))+5.0)/(1-(((MIN(($M$17),99))/100))+5.0))))*100))/100))*0.96)),(((((MIN(($M16),99))/100))+5.0)/(1-(((MIN(($M16),99))/100))+5.0))))*100))/100))*0.96)),(((((MIN(($M$15),99))/100))+5.0)/(1-(((MIN(($M$15),99))/100))+5.0))))*100))/100))*0.96)),(((((MIN(($M$14),99))/100))+5.0)/(1-(((MIN(($M$14),99))/100))+5.0))))*100))/100))*0.96)),(((((MIN(($M13),99))/100))+5.0)/(1-(((MIN(($M13),99))/100))+5.0))))*100),0)</f>
        <v/>
      </c>
      <c r="N2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(39)/100))*0.96)),(((((MIN(($M$29),99))/100))+5.0)/(1-(((MIN(($M$29),99))/100))+5.0))))*100))/100))*0.96)),(((((MIN((L$29),99))/100))+5.0)/(1-(((MIN((L$29),99))/100))+5.0))))*100))/100))*0.96)),(((((MIN((K29),99))/100))+5.0)/(1-(((MIN((K29),99))/100))+5.0))))*100))/100))*0.96)),(((((MIN(($J29),99))/100))+5.0)/(1-(((MIN(($J29),99))/100))+5.0))))*100))/100))*0.96)),(((((MIN(($I29),99))/100))+5.0)/(1-(((MIN(($I29),99))/100))+5.0))))*100))/100))*0.96)),(((((MIN((H$29),99))/100))+5.0)/(1-(((MIN((H$29),99))/100))+5.0))))*100))/100))*0.96)),(((((MIN(($G29),99))/100))+5.0)/(1-(((MIN(($G29),99))/100))+5.0))))*100))/100))*0.96)),(((((MIN((F$29),99))/100))+5.0)/(1-(((MIN((F$29),99))/100))+5.0))))*100))/100))*0.96)),(((((MIN(($N28),99))/100))+5.0)/(1-(((MIN(($N28),99))/100))+5.0))))*100))/100))*0.96)),(((((MIN(($N$27),99))/100))+5.0)/(1-(((MIN(($N$27),99))/100))+5.0))))*100))/100))*0.96)),(((((MIN(($N$26),99))/100))+5.0)/(1-(((MIN(($N$26),99))/100))+5.0))))*100))/100))*0.96)),(((((MIN(($N$25),99))/100))+5.0)/(1-(((MIN(($N$25),99))/100))+5.0))))*100))/100))*0.96)),(((((MIN((N$24),99))/100))+5.0)/(1-(((MIN((N$24),99))/100))+5.0))))*100))/100))*0.96)),(((((MIN(($N23),99))/100))+5.0)/(1-(((MIN(($N23),99))/100))+5.0))))*100))/100))*0.96)),(((((MIN(($N22),99))/100))+5.0)/(1-(((MIN(($N22),99))/100))+5.0))))*100))/100))*0.96)),(((((MIN((N$21),99))/100))+5.0)/(1-(((MIN((N$21),99))/100))+5.0))))*100))/100))*0.96)),(((((MIN(($N$20),99))/100))+5.0)/(1-(((MIN(($N$20),99))/100))+5.0))))*100))/100))*0.96)),(((((MIN((N19),99))/100))+5.0)/(1-(((MIN((N19),99))/100))+5.0))))*100))/100))*0.96)),(((((MIN(($N$18),99))/100))+5.0)/(1-(((MIN(($N$18),99))/100))+5.0))))*100))/100))*0.96)),(((((MIN((N17),99))/100))+5.0)/(1-(((MIN((N17),99))/100))+5.0))))*100))/100))*0.96)),(((((MIN((N16),99))/100))+5.0)/(1-(((MIN((N16),99))/100))+5.0))))*100))/100))*0.96)),(((((MIN((N15),99))/100))+5.0)/(1-(((MIN((N15),99))/100))+5.0))))*100))/100))*0.96)),(((((MIN((N$14),99))/100))+5.0)/(1-(((MIN((N$14),99))/100))+5.0))))*100))/100))*0.96)),(((((MIN((N$13),99))/100))+5.0)/(1-(((MIN((N$13),99))/100))+5.0))))*100),0)</f>
        <v/>
      </c>
      <c r="O2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(42)/100))*0.96)),(((((MIN((N29),99))/100))+5.0)/(1-(((MIN((N29),99))/100))+5.0))))*100))/100))*0.96)),(((((MIN(($M29),99))/100))+5.0)/(1-(((MIN(($M29),99))/100))+5.0))))*100))/100))*0.96)),(((((MIN(($L29),99))/100))+5.0)/(1-(((MIN(($L29),99))/100))+5.0))))*100))/100))*0.96)),(((((MIN((K29),99))/100))+5.0)/(1-(((MIN((K29),99))/100))+5.0))))*100))/100))*0.96)),(((((MIN(($J29),99))/100))+5.0)/(1-(((MIN(($J29),99))/100))+5.0))))*100))/100))*0.96)),(((((MIN(($I$29),99))/100))+5.0)/(1-(((MIN(($I$29),99))/100))+5.0))))*100))/100))*0.96)),(((((MIN(($H$29),99))/100))+5.0)/(1-(((MIN(($H$29),99))/100))+5.0))))*100))/100))*0.96)),(((((MIN((G$29),99))/100))+5.0)/(1-(((MIN((G$29),99))/100))+5.0))))*100))/100))*0.96)),(((((MIN(($O28),99))/100))+5.0)/(1-(((MIN(($O28),99))/100))+5.0))))*100))/100))*0.96)),(((((MIN(($O$27),99))/100))+5.0)/(1-(((MIN(($O$27),99))/100))+5.0))))*100))/100))*0.96)),(((((MIN((O26),99))/100))+5.0)/(1-(((MIN((O26),99))/100))+5.0))))*100))/100))*0.96)),(((((MIN((O25),99))/100))+5.0)/(1-(((MIN((O25),99))/100))+5.0))))*100))/100))*0.96)),(((((MIN((O$24),99))/100))+5.0)/(1-(((MIN((O$24),99))/100))+5.0))))*100))/100))*0.96)),(((((MIN((O$23),99))/100))+5.0)/(1-(((MIN((O$23),99))/100))+5.0))))*100))/100))*0.96)),(((((MIN(($O22),99))/100))+5.0)/(1-(((MIN(($O22),99))/100))+5.0))))*100))/100))*0.96)),(((((MIN(($O21),99))/100))+5.0)/(1-(((MIN(($O21),99))/100))+5.0))))*100))/100))*0.96)),(((((MIN(($O20),99))/100))+5.0)/(1-(((MIN(($O20),99))/100))+5.0))))*100))/100))*0.96)),(((((MIN(($O19),99))/100))+5.0)/(1-(((MIN(($O19),99))/100))+5.0))))*100))/100))*0.96)),(((((MIN(($O$18),99))/100))+5.0)/(1-(((MIN(($O$18),99))/100))+5.0))))*100))/100))*0.96)),(((((MIN(($O17),99))/100))+5.0)/(1-(((MIN(($O17),99))/100))+5.0))))*100))/100))*0.96)),(((((MIN((O16),99))/100))+5.0)/(1-(((MIN((O16),99))/100))+5.0))))*100))/100))*0.96)),(((((MIN(($O$15),99))/100))+5.0)/(1-(((MIN(($O$15),99))/100))+5.0))))*100))/100))*0.96)),(((((MIN((O$14),99))/100))+5.0)/(1-(((MIN((O$14),99))/100))+5.0))))*100))/100))*0.96)),(((((MIN(($O$13),99))/100))+5.0)/(1-(((MIN(($O$13),99))/100))+5.0))))*100),0)</f>
        <v/>
      </c>
      <c r="P2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(37)/100))*0.96)),(((((MIN((O$29),99))/100))+5.0)/(1-(((MIN((O$29),99))/100))+5.0))))*100))/100))*0.96)),(((((MIN((N29),99))/100))+5.0)/(1-(((MIN((N29),99))/100))+5.0))))*100))/100))*0.96)),(((((MIN((M$29),99))/100))+5.0)/(1-(((MIN((M$29),99))/100))+5.0))))*100))/100))*0.96)),(((((MIN(($L29),99))/100))+5.0)/(1-(((MIN(($L29),99))/100))+5.0))))*100))/100))*0.96)),(((((MIN(($K$29),99))/100))+5.0)/(1-(((MIN(($K$29),99))/100))+5.0))))*100))/100))*0.96)),(((((MIN((J29),99))/100))+5.0)/(1-(((MIN((J29),99))/100))+5.0))))*100))/100))*0.96)),(((((MIN((I$29),99))/100))+5.0)/(1-(((MIN((I$29),99))/100))+5.0))))*100))/100))*0.96)),(((((MIN(($H$29),99))/100))+5.0)/(1-(((MIN(($H$29),99))/100))+5.0))))*100))/100))*0.96)),(((((MIN(($P$28),99))/100))+5.0)/(1-(((MIN(($P$28),99))/100))+5.0))))*100))/100))*0.96)),(((((MIN(($P$27),99))/100))+5.0)/(1-(((MIN(($P$27),99))/100))+5.0))))*100))/100))*0.96)),(((((MIN((P26),99))/100))+5.0)/(1-(((MIN((P26),99))/100))+5.0))))*100))/100))*0.96)),(((((MIN(($P$25),99))/100))+5.0)/(1-(((MIN(($P$25),99))/100))+5.0))))*100))/100))*0.96)),(((((MIN(($P24),99))/100))+5.0)/(1-(((MIN(($P24),99))/100))+5.0))))*100))/100))*0.96)),(((((MIN((P$23),99))/100))+5.0)/(1-(((MIN((P$23),99))/100))+5.0))))*100))/100))*0.96)),(((((MIN((P$22),99))/100))+5.0)/(1-(((MIN((P$22),99))/100))+5.0))))*100))/100))*0.96)),(((((MIN((P21),99))/100))+5.0)/(1-(((MIN((P21),99))/100))+5.0))))*100))/100))*0.96)),(((((MIN((P20),99))/100))+5.0)/(1-(((MIN((P20),99))/100))+5.0))))*100))/100))*0.96)),(((((MIN(($P$19),99))/100))+5.0)/(1-(((MIN(($P$19),99))/100))+5.0))))*100))/100))*0.96)),(((((MIN((P$18),99))/100))+5.0)/(1-(((MIN((P$18),99))/100))+5.0))))*100))/100))*0.96)),(((((MIN((P17),99))/100))+5.0)/(1-(((MIN((P17),99))/100))+5.0))))*100))/100))*0.96)),(((((MIN(($P16),99))/100))+5.0)/(1-(((MIN(($P16),99))/100))+5.0))))*100))/100))*0.96)),(((((MIN((P$15),99))/100))+5.0)/(1-(((MIN((P$15),99))/100))+5.0))))*100))/100))*0.96)),(((((MIN((P14),99))/100))+5.0)/(1-(((MIN((P14),99))/100))+5.0))))*100))/100))*0.96)),(((((MIN((P$13),99))/100))+5.0)/(1-(((MIN((P$13),99))/100))+5.0))))*100),0)</f>
        <v/>
      </c>
      <c r="Q2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(30)/100))*0.96)),(((((MIN(($P$29),99))/100))+5.0)/(1-(((MIN(($P$29),99))/100))+5.0))))*100))/100))*0.96)),(((((MIN(($O29),99))/100))+5.0)/(1-(((MIN(($O29),99))/100))+5.0))))*100))/100))*0.96)),(((((MIN((N29),99))/100))+5.0)/(1-(((MIN((N29),99))/100))+5.0))))*100))/100))*0.96)),(((((MIN(($M$29),99))/100))+5.0)/(1-(((MIN(($M$29),99))/100))+5.0))))*100))/100))*0.96)),(((((MIN((L$29),99))/100))+5.0)/(1-(((MIN((L$29),99))/100))+5.0))))*100))/100))*0.96)),(((((MIN(($K$29),99))/100))+5.0)/(1-(((MIN(($K$29),99))/100))+5.0))))*100))/100))*0.96)),(((((MIN((J$29),99))/100))+5.0)/(1-(((MIN((J$29),99))/100))+5.0))))*100))/100))*0.96)),(((((MIN(($I29),99))/100))+5.0)/(1-(((MIN(($I29),99))/100))+5.0))))*100))/100))*0.96)),(((((MIN((Q28),99))/100))+5.0)/(1-(((MIN((Q28),99))/100))+5.0))))*100))/100))*0.96)),(((((MIN(($Q27),99))/100))+5.0)/(1-(((MIN(($Q27),99))/100))+5.0))))*100))/100))*0.96)),(((((MIN(($Q26),99))/100))+5.0)/(1-(((MIN(($Q26),99))/100))+5.0))))*100))/100))*0.96)),(((((MIN((Q$25),99))/100))+5.0)/(1-(((MIN((Q$25),99))/100))+5.0))))*100))/100))*0.96)),(((((MIN(($Q24),99))/100))+5.0)/(1-(((MIN(($Q24),99))/100))+5.0))))*100))/100))*0.96)),(((((MIN((Q$23),99))/100))+5.0)/(1-(((MIN((Q$23),99))/100))+5.0))))*100))/100))*0.96)),(((((MIN(($Q$22),99))/100))+5.0)/(1-(((MIN(($Q$22),99))/100))+5.0))))*100))/100))*0.96)),(((((MIN((Q21),99))/100))+5.0)/(1-(((MIN((Q21),99))/100))+5.0))))*100))/100))*0.96)),(((((MIN(($Q20),99))/100))+5.0)/(1-(((MIN(($Q20),99))/100))+5.0))))*100))/100))*0.96)),(((((MIN(($Q$19),99))/100))+5.0)/(1-(((MIN(($Q$19),99))/100))+5.0))))*100))/100))*0.96)),(((((MIN((Q$18),99))/100))+5.0)/(1-(((MIN((Q$18),99))/100))+5.0))))*100))/100))*0.96)),(((((MIN(($Q17),99))/100))+5.0)/(1-(((MIN(($Q17),99))/100))+5.0))))*100))/100))*0.96)),(((((MIN(($Q16),99))/100))+5.0)/(1-(((MIN(($Q16),99))/100))+5.0))))*100))/100))*0.96)),(((((MIN(($Q15),99))/100))+5.0)/(1-(((MIN(($Q15),99))/100))+5.0))))*100))/100))*0.96)),(((((MIN(($Q$14),99))/100))+5.0)/(1-(((MIN(($Q$14),99))/100))+5.0))))*100))/100))*0.96)),(((((MIN((Q13),99))/100))+5.0)/(1-(((MIN((Q13),99))/100))+5.0))))*100),0)</f>
        <v/>
      </c>
      <c r="R2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(38)/100))*0.96)),(((((MIN((Q$29),99))/100))+5.0)/(1-(((MIN((Q$29),99))/100))+5.0))))*100))/100))*0.96)),(((((MIN(($P$29),99))/100))+5.0)/(1-(((MIN(($P$29),99))/100))+5.0))))*100))/100))*0.96)),(((((MIN(($O29),99))/100))+5.0)/(1-(((MIN(($O29),99))/100))+5.0))))*100))/100))*0.96)),(((((MIN(($N$29),99))/100))+5.0)/(1-(((MIN(($N$29),99))/100))+5.0))))*100))/100))*0.96)),(((((MIN(($M29),99))/100))+5.0)/(1-(((MIN(($M29),99))/100))+5.0))))*100))/100))*0.96)),(((((MIN(($L$29),99))/100))+5.0)/(1-(((MIN(($L$29),99))/100))+5.0))))*100))/100))*0.96)),(((((MIN(($K29),99))/100))+5.0)/(1-(((MIN(($K29),99))/100))+5.0))))*100))/100))*0.96)),(((((MIN(($J$29),99))/100))+5.0)/(1-(((MIN(($J$29),99))/100))+5.0))))*100))/100))*0.96)),(((((MIN((R28),99))/100))+5.0)/(1-(((MIN((R28),99))/100))+5.0))))*100))/100))*0.96)),(((((MIN((R$27),99))/100))+5.0)/(1-(((MIN((R$27),99))/100))+5.0))))*100))/100))*0.96)),(((((MIN(($R26),99))/100))+5.0)/(1-(((MIN(($R26),99))/100))+5.0))))*100))/100))*0.96)),(((((MIN(($R$25),99))/100))+5.0)/(1-(((MIN(($R$25),99))/100))+5.0))))*100))/100))*0.96)),(((((MIN(($R$24),99))/100))+5.0)/(1-(((MIN(($R$24),99))/100))+5.0))))*100))/100))*0.96)),(((((MIN((R$23),99))/100))+5.0)/(1-(((MIN((R$23),99))/100))+5.0))))*100))/100))*0.96)),(((((MIN((R$22),99))/100))+5.0)/(1-(((MIN((R$22),99))/100))+5.0))))*100))/100))*0.96)),(((((MIN(($R21),99))/100))+5.0)/(1-(((MIN(($R21),99))/100))+5.0))))*100))/100))*0.96)),(((((MIN(($R$20),99))/100))+5.0)/(1-(((MIN(($R$20),99))/100))+5.0))))*100))/100))*0.96)),(((((MIN(($R19),99))/100))+5.0)/(1-(((MIN(($R19),99))/100))+5.0))))*100))/100))*0.96)),(((((MIN((R$18),99))/100))+5.0)/(1-(((MIN((R$18),99))/100))+5.0))))*100))/100))*0.96)),(((((MIN(($R17),99))/100))+5.0)/(1-(((MIN(($R17),99))/100))+5.0))))*100))/100))*0.96)),(((((MIN((R16),99))/100))+5.0)/(1-(((MIN((R16),99))/100))+5.0))))*100))/100))*0.96)),(((((MIN(($R$15),99))/100))+5.0)/(1-(((MIN(($R$15),99))/100))+5.0))))*100))/100))*0.96)),(((((MIN(($R14),99))/100))+5.0)/(1-(((MIN(($R14),99))/100))+5.0))))*100))/100))*0.96)),(((((MIN((R$13),99))/100))+5.0)/(1-(((MIN((R$13),99))/100))+5.0))))*100),0)</f>
        <v/>
      </c>
      <c r="S2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(56)/100))*0.96)),(((((MIN(($R29),99))/100))+5.0)/(1-(((MIN(($R29),99))/100))+5.0))))*100))/100))*0.96)),(((((MIN(($Q29),99))/100))+5.0)/(1-(((MIN(($Q29),99))/100))+5.0))))*100))/100))*0.96)),(((((MIN((P$29),99))/100))+5.0)/(1-(((MIN((P$29),99))/100))+5.0))))*100))/100))*0.96)),(((((MIN(($O$29),99))/100))+5.0)/(1-(((MIN(($O$29),99))/100))+5.0))))*100))/100))*0.96)),(((((MIN((N$29),99))/100))+5.0)/(1-(((MIN((N$29),99))/100))+5.0))))*100))/100))*0.96)),(((((MIN((M29),99))/100))+5.0)/(1-(((MIN((M29),99))/100))+5.0))))*100))/100))*0.96)),(((((MIN(($L29),99))/100))+5.0)/(1-(((MIN(($L29),99))/100))+5.0))))*100))/100))*0.96)),(((((MIN(($K$29),99))/100))+5.0)/(1-(((MIN(($K$29),99))/100))+5.0))))*100))/100))*0.96)),(((((MIN((S28),99))/100))+5.0)/(1-(((MIN((S28),99))/100))+5.0))))*100))/100))*0.96)),(((((MIN((S27),99))/100))+5.0)/(1-(((MIN((S27),99))/100))+5.0))))*100))/100))*0.96)),(((((MIN(($S$26),99))/100))+5.0)/(1-(((MIN(($S$26),99))/100))+5.0))))*100))/100))*0.96)),(((((MIN(($S25),99))/100))+5.0)/(1-(((MIN(($S25),99))/100))+5.0))))*100))/100))*0.96)),(((((MIN(($S24),99))/100))+5.0)/(1-(((MIN(($S24),99))/100))+5.0))))*100))/100))*0.96)),(((((MIN((S$23),99))/100))+5.0)/(1-(((MIN((S$23),99))/100))+5.0))))*100))/100))*0.96)),(((((MIN((S22),99))/100))+5.0)/(1-(((MIN((S22),99))/100))+5.0))))*100))/100))*0.96)),(((((MIN(($S$21),99))/100))+5.0)/(1-(((MIN(($S$21),99))/100))+5.0))))*100))/100))*0.96)),(((((MIN((S20),99))/100))+5.0)/(1-(((MIN((S20),99))/100))+5.0))))*100))/100))*0.96)),(((((MIN(($S$19),99))/100))+5.0)/(1-(((MIN(($S$19),99))/100))+5.0))))*100))/100))*0.96)),(((((MIN((S$18),99))/100))+5.0)/(1-(((MIN((S$18),99))/100))+5.0))))*100))/100))*0.96)),(((((MIN(($S$17),99))/100))+5.0)/(1-(((MIN(($S$17),99))/100))+5.0))))*100))/100))*0.96)),(((((MIN(($S16),99))/100))+5.0)/(1-(((MIN(($S16),99))/100))+5.0))))*100))/100))*0.96)),(((((MIN(($S15),99))/100))+5.0)/(1-(((MIN(($S15),99))/100))+5.0))))*100))/100))*0.96)),(((((MIN(($S$14),99))/100))+5.0)/(1-(((MIN(($S$14),99))/100))+5.0))))*100))/100))*0.96)),(((((MIN((S13),99))/100))+5.0)/(1-(((MIN((S13),99))/100))+5.0))))*100),0)</f>
        <v/>
      </c>
      <c r="T29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(61)/100))*0.96)),(((((MIN((S$29),99))/100))+5.0)/(1-(((MIN((S$29),99))/100))+5.0))))*100))/100))*0.96)),(((((MIN((R29),99))/100))+5.0)/(1-(((MIN((R29),99))/100))+5.0))))*100))/100))*0.96)),(((((MIN((Q$29),99))/100))+5.0)/(1-(((MIN((Q$29),99))/100))+5.0))))*100))/100))*0.96)),(((((MIN(($P29),99))/100))+5.0)/(1-(((MIN(($P29),99))/100))+5.0))))*100))/100))*0.96)),(((((MIN((O$29),99))/100))+5.0)/(1-(((MIN((O$29),99))/100))+5.0))))*100))/100))*0.96)),(((((MIN((N29),99))/100))+5.0)/(1-(((MIN((N29),99))/100))+5.0))))*100))/100))*0.96)),(((((MIN((M$29),99))/100))+5.0)/(1-(((MIN((M$29),99))/100))+5.0))))*100))/100))*0.96)),(((((MIN((L29),99))/100))+5.0)/(1-(((MIN((L29),99))/100))+5.0))))*100))/100))*0.96)),(((((MIN(($T28),99))/100))+5.0)/(1-(((MIN(($T28),99))/100))+5.0))))*100))/100))*0.96)),(((((MIN(($T27),99))/100))+5.0)/(1-(((MIN(($T27),99))/100))+5.0))))*100))/100))*0.96)),(((((MIN((T26),99))/100))+5.0)/(1-(((MIN((T26),99))/100))+5.0))))*100))/100))*0.96)),(((((MIN(($T25),99))/100))+5.0)/(1-(((MIN(($T25),99))/100))+5.0))))*100))/100))*0.96)),(((((MIN((T24),99))/100))+5.0)/(1-(((MIN((T24),99))/100))+5.0))))*100))/100))*0.96)),(((((MIN(($T23),99))/100))+5.0)/(1-(((MIN(($T23),99))/100))+5.0))))*100))/100))*0.96)),(((((MIN(($T$22),99))/100))+5.0)/(1-(((MIN(($T$22),99))/100))+5.0))))*100))/100))*0.96)),(((((MIN((T$21),99))/100))+5.0)/(1-(((MIN((T$21),99))/100))+5.0))))*100))/100))*0.96)),(((((MIN((T20),99))/100))+5.0)/(1-(((MIN((T20),99))/100))+5.0))))*100))/100))*0.96)),(((((MIN(($T19),99))/100))+5.0)/(1-(((MIN(($T19),99))/100))+5.0))))*100))/100))*0.96)),(((((MIN(($T$18),99))/100))+5.0)/(1-(((MIN(($T$18),99))/100))+5.0))))*100))/100))*0.96)),(((((MIN((T17),99))/100))+5.0)/(1-(((MIN((T17),99))/100))+5.0))))*100))/100))*0.96)),(((((MIN((T$16),99))/100))+5.0)/(1-(((MIN((T$16),99))/100))+5.0))))*100))/100))*0.96)),(((((MIN((T$15),99))/100))+5.0)/(1-(((MIN((T$15),99))/100))+5.0))))*100))/100))*0.96)),(((((MIN((T14),99))/100))+5.0)/(1-(((MIN((T14),99))/100))+5.0))))*100))/100))*0.96)),(((((MIN(($T13),99))/100))+5.0)/(1-(((MIN(($T13),99))/100))+5.0))))*100),0)</f>
        <v/>
      </c>
    </row>
    <row r="30">
      <c r="A3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(94)/100))*0.96)),(((((MIN((A$29),99))/100))+5.0)/(1-(((MIN((A$29),99))/100))+5.0))))*100))/100))*0.96)),(((((MIN(($A28),99))/100))+5.0)/(1-(((MIN(($A28),99))/100))+5.0))))*100))/100))*0.96)),(((((MIN((A27),99))/100))+5.0)/(1-(((MIN((A27),99))/100))+5.0))))*100))/100))*0.96)),(((((MIN((A$26),99))/100))+5.0)/(1-(((MIN((A$26),99))/100))+5.0))))*100))/100))*0.96)),(((((MIN(($A25),99))/100))+5.0)/(1-(((MIN(($A25),99))/100))+5.0))))*100))/100))*0.96)),(((((MIN(($A24),99))/100))+5.0)/(1-(((MIN(($A24),99))/100))+5.0))))*100))/100))*0.96)),(((((MIN(($A$23),99))/100))+5.0)/(1-(((MIN(($A$23),99))/100))+5.0))))*100))/100))*0.96)),(((((MIN((A$22),99))/100))+5.0)/(1-(((MIN((A$22),99))/100))+5.0))))*100))/100))*0.96)),(((((MIN((A$21),99))/100))+5.0)/(1-(((MIN((A$21),99))/100))+5.0))))*100))/100))*0.96)),(((((MIN((A20),99))/100))+5.0)/(1-(((MIN((A20),99))/100))+5.0))))*100))/100))*0.96)),(((((MIN((A$19),99))/100))+5.0)/(1-(((MIN((A$19),99))/100))+5.0))))*100))/100))*0.96)),(((((MIN((A$18),99))/100))+5.0)/(1-(((MIN((A$18),99))/100))+5.0))))*100))/100))*0.96)),(((((MIN(($A$17),99))/100))+5.0)/(1-(((MIN(($A$17),99))/100))+5.0))))*100))/100))*0.96)),(((((MIN(($A16),99))/100))+5.0)/(1-(((MIN(($A16),99))/100))+5.0))))*100))/100))*0.96)),(((((MIN(($A15),99))/100))+5.0)/(1-(((MIN(($A15),99))/100))+5.0))))*100))/100))*0.96)),(((((MIN(($A14),99))/100))+5.0)/(1-(((MIN(($A14),99))/100))+5.0))))*100),0)</f>
        <v/>
      </c>
      <c r="B3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(51)/100))*0.96)),(((((MIN((A30),99))/100))+5.0)/(1-(((MIN((A30),99))/100))+5.0))))*100))/100))*0.96)),(((((MIN(($B$29),99))/100))+5.0)/(1-(((MIN(($B$29),99))/100))+5.0))))*100))/100))*0.96)),(((((MIN((B28),99))/100))+5.0)/(1-(((MIN((B28),99))/100))+5.0))))*100))/100))*0.96)),(((((MIN((B27),99))/100))+5.0)/(1-(((MIN((B27),99))/100))+5.0))))*100))/100))*0.96)),(((((MIN((B26),99))/100))+5.0)/(1-(((MIN((B26),99))/100))+5.0))))*100))/100))*0.96)),(((((MIN((B25),99))/100))+5.0)/(1-(((MIN((B25),99))/100))+5.0))))*100))/100))*0.96)),(((((MIN((B24),99))/100))+5.0)/(1-(((MIN((B24),99))/100))+5.0))))*100))/100))*0.96)),(((((MIN(($B23),99))/100))+5.0)/(1-(((MIN(($B23),99))/100))+5.0))))*100))/100))*0.96)),(((((MIN((B$22),99))/100))+5.0)/(1-(((MIN((B$22),99))/100))+5.0))))*100))/100))*0.96)),(((((MIN((B$21),99))/100))+5.0)/(1-(((MIN((B$21),99))/100))+5.0))))*100))/100))*0.96)),(((((MIN((B20),99))/100))+5.0)/(1-(((MIN((B20),99))/100))+5.0))))*100))/100))*0.96)),(((((MIN(($B$19),99))/100))+5.0)/(1-(((MIN(($B$19),99))/100))+5.0))))*100))/100))*0.96)),(((((MIN((B18),99))/100))+5.0)/(1-(((MIN((B18),99))/100))+5.0))))*100))/100))*0.96)),(((((MIN((B17),99))/100))+5.0)/(1-(((MIN((B17),99))/100))+5.0))))*100))/100))*0.96)),(((((MIN(($B$16),99))/100))+5.0)/(1-(((MIN(($B$16),99))/100))+5.0))))*100))/100))*0.96)),(((((MIN(($B15),99))/100))+5.0)/(1-(((MIN(($B15),99))/100))+5.0))))*100))/100))*0.96)),(((((MIN(($B14),99))/100))+5.0)/(1-(((MIN(($B14),99))/100))+5.0))))*100),0)</f>
        <v/>
      </c>
      <c r="C3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(56)/100))*0.96)),(((((MIN(($B30),99))/100))+5.0)/(1-(((MIN(($B30),99))/100))+5.0))))*100))/100))*0.96)),(((((MIN(($A30),99))/100))+5.0)/(1-(((MIN(($A30),99))/100))+5.0))))*100))/100))*0.96)),(((((MIN((C29),99))/100))+5.0)/(1-(((MIN((C29),99))/100))+5.0))))*100))/100))*0.96)),(((((MIN((C$28),99))/100))+5.0)/(1-(((MIN((C$28),99))/100))+5.0))))*100))/100))*0.96)),(((((MIN((C$27),99))/100))+5.0)/(1-(((MIN((C$27),99))/100))+5.0))))*100))/100))*0.96)),(((((MIN(($C26),99))/100))+5.0)/(1-(((MIN(($C26),99))/100))+5.0))))*100))/100))*0.96)),(((((MIN((C$25),99))/100))+5.0)/(1-(((MIN((C$25),99))/100))+5.0))))*100))/100))*0.96)),(((((MIN((C$24),99))/100))+5.0)/(1-(((MIN((C$24),99))/100))+5.0))))*100))/100))*0.96)),(((((MIN(($C23),99))/100))+5.0)/(1-(((MIN(($C23),99))/100))+5.0))))*100))/100))*0.96)),(((((MIN((C$22),99))/100))+5.0)/(1-(((MIN((C$22),99))/100))+5.0))))*100))/100))*0.96)),(((((MIN(($C21),99))/100))+5.0)/(1-(((MIN(($C21),99))/100))+5.0))))*100))/100))*0.96)),(((((MIN(($C20),99))/100))+5.0)/(1-(((MIN(($C20),99))/100))+5.0))))*100))/100))*0.96)),(((((MIN(($C19),99))/100))+5.0)/(1-(((MIN(($C19),99))/100))+5.0))))*100))/100))*0.96)),(((((MIN((C18),99))/100))+5.0)/(1-(((MIN((C18),99))/100))+5.0))))*100))/100))*0.96)),(((((MIN(($C17),99))/100))+5.0)/(1-(((MIN(($C17),99))/100))+5.0))))*100))/100))*0.96)),(((((MIN(($C$16),99))/100))+5.0)/(1-(((MIN(($C$16),99))/100))+5.0))))*100))/100))*0.96)),(((((MIN(($C15),99))/100))+5.0)/(1-(((MIN(($C15),99))/100))+5.0))))*100))/100))*0.96)),(((((MIN((C$14),99))/100))+5.0)/(1-(((MIN((C$14),99))/100))+5.0))))*100),0)</f>
        <v/>
      </c>
      <c r="D3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(34)/100))*0.96)),(((((MIN(($C30),99))/100))+5.0)/(1-(((MIN(($C30),99))/100))+5.0))))*100))/100))*0.96)),(((((MIN((B$30),99))/100))+5.0)/(1-(((MIN((B$30),99))/100))+5.0))))*100))/100))*0.96)),(((((MIN((A30),99))/100))+5.0)/(1-(((MIN((A30),99))/100))+5.0))))*100))/100))*0.96)),(((((MIN(($D$29),99))/100))+5.0)/(1-(((MIN(($D$29),99))/100))+5.0))))*100))/100))*0.96)),(((((MIN(($D$28),99))/100))+5.0)/(1-(((MIN(($D$28),99))/100))+5.0))))*100))/100))*0.96)),(((((MIN((D27),99))/100))+5.0)/(1-(((MIN((D27),99))/100))+5.0))))*100))/100))*0.96)),(((((MIN((D$26),99))/100))+5.0)/(1-(((MIN((D$26),99))/100))+5.0))))*100))/100))*0.96)),(((((MIN(($D25),99))/100))+5.0)/(1-(((MIN(($D25),99))/100))+5.0))))*100))/100))*0.96)),(((((MIN(($D$24),99))/100))+5.0)/(1-(((MIN(($D$24),99))/100))+5.0))))*100))/100))*0.96)),(((((MIN(($D23),99))/100))+5.0)/(1-(((MIN(($D23),99))/100))+5.0))))*100))/100))*0.96)),(((((MIN((D$22),99))/100))+5.0)/(1-(((MIN((D$22),99))/100))+5.0))))*100))/100))*0.96)),(((((MIN((D21),99))/100))+5.0)/(1-(((MIN((D21),99))/100))+5.0))))*100))/100))*0.96)),(((((MIN((D20),99))/100))+5.0)/(1-(((MIN((D20),99))/100))+5.0))))*100))/100))*0.96)),(((((MIN(($D$19),99))/100))+5.0)/(1-(((MIN(($D$19),99))/100))+5.0))))*100))/100))*0.96)),(((((MIN((D$18),99))/100))+5.0)/(1-(((MIN((D$18),99))/100))+5.0))))*100))/100))*0.96)),(((((MIN((D17),99))/100))+5.0)/(1-(((MIN((D17),99))/100))+5.0))))*100))/100))*0.96)),(((((MIN((D16),99))/100))+5.0)/(1-(((MIN((D16),99))/100))+5.0))))*100))/100))*0.96)),(((((MIN((D15),99))/100))+5.0)/(1-(((MIN((D15),99))/100))+5.0))))*100))/100))*0.96)),(((((MIN(($D$14),99))/100))+5.0)/(1-(((MIN(($D$14),99))/100))+5.0))))*100),0)</f>
        <v/>
      </c>
      <c r="E3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(56)/100))*0.96)),(((((MIN(($D30),99))/100))+5.0)/(1-(((MIN(($D30),99))/100))+5.0))))*100))/100))*0.96)),(((((MIN(($C30),99))/100))+5.0)/(1-(((MIN(($C30),99))/100))+5.0))))*100))/100))*0.96)),(((((MIN(($B30),99))/100))+5.0)/(1-(((MIN(($B30),99))/100))+5.0))))*100))/100))*0.96)),(((((MIN(($A$30),99))/100))+5.0)/(1-(((MIN(($A$30),99))/100))+5.0))))*100))/100))*0.96)),(((((MIN(($E$29),99))/100))+5.0)/(1-(((MIN(($E$29),99))/100))+5.0))))*100))/100))*0.96)),(((((MIN((E28),99))/100))+5.0)/(1-(((MIN((E28),99))/100))+5.0))))*100))/100))*0.96)),(((((MIN(($E$27),99))/100))+5.0)/(1-(((MIN(($E$27),99))/100))+5.0))))*100))/100))*0.96)),(((((MIN(($E$26),99))/100))+5.0)/(1-(((MIN(($E$26),99))/100))+5.0))))*100))/100))*0.96)),(((((MIN(($E$25),99))/100))+5.0)/(1-(((MIN(($E$25),99))/100))+5.0))))*100))/100))*0.96)),(((((MIN(($E$24),99))/100))+5.0)/(1-(((MIN(($E$24),99))/100))+5.0))))*100))/100))*0.96)),(((((MIN(($E$23),99))/100))+5.0)/(1-(((MIN(($E$23),99))/100))+5.0))))*100))/100))*0.96)),(((((MIN(($E$22),99))/100))+5.0)/(1-(((MIN(($E$22),99))/100))+5.0))))*100))/100))*0.96)),(((((MIN((E$21),99))/100))+5.0)/(1-(((MIN((E$21),99))/100))+5.0))))*100))/100))*0.96)),(((((MIN((E$20),99))/100))+5.0)/(1-(((MIN((E$20),99))/100))+5.0))))*100))/100))*0.96)),(((((MIN(($E$19),99))/100))+5.0)/(1-(((MIN(($E$19),99))/100))+5.0))))*100))/100))*0.96)),(((((MIN((E18),99))/100))+5.0)/(1-(((MIN((E18),99))/100))+5.0))))*100))/100))*0.96)),(((((MIN(($E17),99))/100))+5.0)/(1-(((MIN(($E17),99))/100))+5.0))))*100))/100))*0.96)),(((((MIN(($E$16),99))/100))+5.0)/(1-(((MIN(($E$16),99))/100))+5.0))))*100))/100))*0.96)),(((((MIN((E$15),99))/100))+5.0)/(1-(((MIN((E$15),99))/100))+5.0))))*100))/100))*0.96)),(((((MIN(($E$14),99))/100))+5.0)/(1-(((MIN(($E$14),99))/100))+5.0))))*100),0)</f>
        <v/>
      </c>
      <c r="F3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(56)/100))*0.96)),(((((MIN(($E$30),99))/100))+5.0)/(1-(((MIN(($E$30),99))/100))+5.0))))*100))/100))*0.96)),(((((MIN(($D30),99))/100))+5.0)/(1-(((MIN(($D30),99))/100))+5.0))))*100))/100))*0.96)),(((((MIN((C30),99))/100))+5.0)/(1-(((MIN((C30),99))/100))+5.0))))*100))/100))*0.96)),(((((MIN((B$30),99))/100))+5.0)/(1-(((MIN((B$30),99))/100))+5.0))))*100))/100))*0.96)),(((((MIN((A30),99))/100))+5.0)/(1-(((MIN((A30),99))/100))+5.0))))*100))/100))*0.96)),(((((MIN((F$29),99))/100))+5.0)/(1-(((MIN((F$29),99))/100))+5.0))))*100))/100))*0.96)),(((((MIN((F28),99))/100))+5.0)/(1-(((MIN((F28),99))/100))+5.0))))*100))/100))*0.96)),(((((MIN(($F27),99))/100))+5.0)/(1-(((MIN(($F27),99))/100))+5.0))))*100))/100))*0.96)),(((((MIN(($F26),99))/100))+5.0)/(1-(((MIN(($F26),99))/100))+5.0))))*100))/100))*0.96)),(((((MIN(($F25),99))/100))+5.0)/(1-(((MIN(($F25),99))/100))+5.0))))*100))/100))*0.96)),(((((MIN(($F$24),99))/100))+5.0)/(1-(((MIN(($F$24),99))/100))+5.0))))*100))/100))*0.96)),(((((MIN((F23),99))/100))+5.0)/(1-(((MIN((F23),99))/100))+5.0))))*100))/100))*0.96)),(((((MIN((F22),99))/100))+5.0)/(1-(((MIN((F22),99))/100))+5.0))))*100))/100))*0.96)),(((((MIN(($F21),99))/100))+5.0)/(1-(((MIN(($F21),99))/100))+5.0))))*100))/100))*0.96)),(((((MIN(($F20),99))/100))+5.0)/(1-(((MIN(($F20),99))/100))+5.0))))*100))/100))*0.96)),(((((MIN((F19),99))/100))+5.0)/(1-(((MIN((F19),99))/100))+5.0))))*100))/100))*0.96)),(((((MIN((F$18),99))/100))+5.0)/(1-(((MIN((F$18),99))/100))+5.0))))*100))/100))*0.96)),(((((MIN(($F17),99))/100))+5.0)/(1-(((MIN(($F17),99))/100))+5.0))))*100))/100))*0.96)),(((((MIN((F16),99))/100))+5.0)/(1-(((MIN((F16),99))/100))+5.0))))*100))/100))*0.96)),(((((MIN((F15),99))/100))+5.0)/(1-(((MIN((F15),99))/100))+5.0))))*100))/100))*0.96)),(((((MIN((F$14),99))/100))+5.0)/(1-(((MIN((F$14),99))/100))+5.0))))*100),0)</f>
        <v/>
      </c>
      <c r="G3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(79)/100))*0.96)),(((((MIN(($F30),99))/100))+5.0)/(1-(((MIN(($F30),99))/100))+5.0))))*100))/100))*0.96)),(((((MIN((E$30),99))/100))+5.0)/(1-(((MIN((E$30),99))/100))+5.0))))*100))/100))*0.96)),(((((MIN(($D30),99))/100))+5.0)/(1-(((MIN(($D30),99))/100))+5.0))))*100))/100))*0.96)),(((((MIN((C$30),99))/100))+5.0)/(1-(((MIN((C$30),99))/100))+5.0))))*100))/100))*0.96)),(((((MIN((B30),99))/100))+5.0)/(1-(((MIN((B30),99))/100))+5.0))))*100))/100))*0.96)),(((((MIN(($A30),99))/100))+5.0)/(1-(((MIN(($A30),99))/100))+5.0))))*100))/100))*0.96)),(((((MIN(($G$29),99))/100))+5.0)/(1-(((MIN(($G$29),99))/100))+5.0))))*100))/100))*0.96)),(((((MIN((G$28),99))/100))+5.0)/(1-(((MIN((G$28),99))/100))+5.0))))*100))/100))*0.96)),(((((MIN(($G$27),99))/100))+5.0)/(1-(((MIN(($G$27),99))/100))+5.0))))*100))/100))*0.96)),(((((MIN((G26),99))/100))+5.0)/(1-(((MIN((G26),99))/100))+5.0))))*100))/100))*0.96)),(((((MIN((G$25),99))/100))+5.0)/(1-(((MIN((G$25),99))/100))+5.0))))*100))/100))*0.96)),(((((MIN(($G24),99))/100))+5.0)/(1-(((MIN(($G24),99))/100))+5.0))))*100))/100))*0.96)),(((((MIN((G23),99))/100))+5.0)/(1-(((MIN((G23),99))/100))+5.0))))*100))/100))*0.96)),(((((MIN(($G22),99))/100))+5.0)/(1-(((MIN(($G22),99))/100))+5.0))))*100))/100))*0.96)),(((((MIN((G21),99))/100))+5.0)/(1-(((MIN((G21),99))/100))+5.0))))*100))/100))*0.96)),(((((MIN((G$20),99))/100))+5.0)/(1-(((MIN((G$20),99))/100))+5.0))))*100))/100))*0.96)),(((((MIN(($G19),99))/100))+5.0)/(1-(((MIN(($G19),99))/100))+5.0))))*100))/100))*0.96)),(((((MIN(($G$18),99))/100))+5.0)/(1-(((MIN(($G$18),99))/100))+5.0))))*100))/100))*0.96)),(((((MIN((G$17),99))/100))+5.0)/(1-(((MIN((G$17),99))/100))+5.0))))*100))/100))*0.96)),(((((MIN(($G$16),99))/100))+5.0)/(1-(((MIN(($G$16),99))/100))+5.0))))*100))/100))*0.96)),(((((MIN((G$15),99))/100))+5.0)/(1-(((MIN((G$15),99))/100))+5.0))))*100))/100))*0.96)),(((((MIN(($G$14),99))/100))+5.0)/(1-(((MIN(($G$14),99))/100))+5.0))))*100),0)</f>
        <v/>
      </c>
      <c r="H3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(60)/100))*0.96)),(((((MIN((G30),99))/100))+5.0)/(1-(((MIN((G30),99))/100))+5.0))))*100))/100))*0.96)),(((((MIN(($F$30),99))/100))+5.0)/(1-(((MIN(($F$30),99))/100))+5.0))))*100))/100))*0.96)),(((((MIN((E$30),99))/100))+5.0)/(1-(((MIN((E$30),99))/100))+5.0))))*100))/100))*0.96)),(((((MIN((D$30),99))/100))+5.0)/(1-(((MIN((D$30),99))/100))+5.0))))*100))/100))*0.96)),(((((MIN((C30),99))/100))+5.0)/(1-(((MIN((C30),99))/100))+5.0))))*100))/100))*0.96)),(((((MIN(($B$30),99))/100))+5.0)/(1-(((MIN(($B$30),99))/100))+5.0))))*100))/100))*0.96)),(((((MIN((A30),99))/100))+5.0)/(1-(((MIN((A30),99))/100))+5.0))))*100))/100))*0.96)),(((((MIN((H$29),99))/100))+5.0)/(1-(((MIN((H$29),99))/100))+5.0))))*100))/100))*0.96)),(((((MIN((H28),99))/100))+5.0)/(1-(((MIN((H28),99))/100))+5.0))))*100))/100))*0.96)),(((((MIN((H27),99))/100))+5.0)/(1-(((MIN((H27),99))/100))+5.0))))*100))/100))*0.96)),(((((MIN(($H$26),99))/100))+5.0)/(1-(((MIN(($H$26),99))/100))+5.0))))*100))/100))*0.96)),(((((MIN((H25),99))/100))+5.0)/(1-(((MIN((H25),99))/100))+5.0))))*100))/100))*0.96)),(((((MIN(($H24),99))/100))+5.0)/(1-(((MIN(($H24),99))/100))+5.0))))*100))/100))*0.96)),(((((MIN(($H23),99))/100))+5.0)/(1-(((MIN(($H23),99))/100))+5.0))))*100))/100))*0.96)),(((((MIN((H22),99))/100))+5.0)/(1-(((MIN((H22),99))/100))+5.0))))*100))/100))*0.96)),(((((MIN(($H21),99))/100))+5.0)/(1-(((MIN(($H21),99))/100))+5.0))))*100))/100))*0.96)),(((((MIN(($H20),99))/100))+5.0)/(1-(((MIN(($H20),99))/100))+5.0))))*100))/100))*0.96)),(((((MIN((H19),99))/100))+5.0)/(1-(((MIN((H19),99))/100))+5.0))))*100))/100))*0.96)),(((((MIN((H$18),99))/100))+5.0)/(1-(((MIN((H$18),99))/100))+5.0))))*100))/100))*0.96)),(((((MIN((H$17),99))/100))+5.0)/(1-(((MIN((H$17),99))/100))+5.0))))*100))/100))*0.96)),(((((MIN((H$16),99))/100))+5.0)/(1-(((MIN((H$16),99))/100))+5.0))))*100))/100))*0.96)),(((((MIN((H$15),99))/100))+5.0)/(1-(((MIN((H$15),99))/100))+5.0))))*100))/100))*0.96)),(((((MIN((H14),99))/100))+5.0)/(1-(((MIN((H14),99))/100))+5.0))))*100),0)</f>
        <v/>
      </c>
      <c r="I3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(87)/100))*0.96)),(((((MIN(($H30),99))/100))+5.0)/(1-(((MIN(($H30),99))/100))+5.0))))*100))/100))*0.96)),(((((MIN((G$30),99))/100))+5.0)/(1-(((MIN((G$30),99))/100))+5.0))))*100))/100))*0.96)),(((((MIN((F30),99))/100))+5.0)/(1-(((MIN((F30),99))/100))+5.0))))*100))/100))*0.96)),(((((MIN(($E30),99))/100))+5.0)/(1-(((MIN(($E30),99))/100))+5.0))))*100))/100))*0.96)),(((((MIN((D$30),99))/100))+5.0)/(1-(((MIN((D$30),99))/100))+5.0))))*100))/100))*0.96)),(((((MIN((C30),99))/100))+5.0)/(1-(((MIN((C30),99))/100))+5.0))))*100))/100))*0.96)),(((((MIN((B30),99))/100))+5.0)/(1-(((MIN((B30),99))/100))+5.0))))*100))/100))*0.96)),(((((MIN(($A$30),99))/100))+5.0)/(1-(((MIN(($A$30),99))/100))+5.0))))*100))/100))*0.96)),(((((MIN(($I$29),99))/100))+5.0)/(1-(((MIN(($I$29),99))/100))+5.0))))*100))/100))*0.96)),(((((MIN((I$28),99))/100))+5.0)/(1-(((MIN((I$28),99))/100))+5.0))))*100))/100))*0.96)),(((((MIN((I27),99))/100))+5.0)/(1-(((MIN((I27),99))/100))+5.0))))*100))/100))*0.96)),(((((MIN((I26),99))/100))+5.0)/(1-(((MIN((I26),99))/100))+5.0))))*100))/100))*0.96)),(((((MIN((I$25),99))/100))+5.0)/(1-(((MIN((I$25),99))/100))+5.0))))*100))/100))*0.96)),(((((MIN(($I24),99))/100))+5.0)/(1-(((MIN(($I24),99))/100))+5.0))))*100))/100))*0.96)),(((((MIN((I$23),99))/100))+5.0)/(1-(((MIN((I$23),99))/100))+5.0))))*100))/100))*0.96)),(((((MIN(($I$22),99))/100))+5.0)/(1-(((MIN(($I$22),99))/100))+5.0))))*100))/100))*0.96)),(((((MIN((I21),99))/100))+5.0)/(1-(((MIN((I21),99))/100))+5.0))))*100))/100))*0.96)),(((((MIN((I$20),99))/100))+5.0)/(1-(((MIN((I$20),99))/100))+5.0))))*100))/100))*0.96)),(((((MIN(($I$19),99))/100))+5.0)/(1-(((MIN(($I$19),99))/100))+5.0))))*100))/100))*0.96)),(((((MIN(($I$18),99))/100))+5.0)/(1-(((MIN(($I$18),99))/100))+5.0))))*100))/100))*0.96)),(((((MIN((I17),99))/100))+5.0)/(1-(((MIN((I17),99))/100))+5.0))))*100))/100))*0.96)),(((((MIN((I$16),99))/100))+5.0)/(1-(((MIN((I$16),99))/100))+5.0))))*100))/100))*0.96)),(((((MIN((I15),99))/100))+5.0)/(1-(((MIN((I15),99))/100))+5.0))))*100))/100))*0.96)),(((((MIN(($I14),99))/100))+5.0)/(1-(((MIN(($I14),99))/100))+5.0))))*100),0)</f>
        <v/>
      </c>
      <c r="J3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(91)/100))*0.96)),(((((MIN(($I30),99))/100))+5.0)/(1-(((MIN(($I30),99))/100))+5.0))))*100))/100))*0.96)),(((((MIN((H$30),99))/100))+5.0)/(1-(((MIN((H$30),99))/100))+5.0))))*100))/100))*0.96)),(((((MIN((G$30),99))/100))+5.0)/(1-(((MIN((G$30),99))/100))+5.0))))*100))/100))*0.96)),(((((MIN((F$30),99))/100))+5.0)/(1-(((MIN((F$30),99))/100))+5.0))))*100))/100))*0.96)),(((((MIN(($E30),99))/100))+5.0)/(1-(((MIN(($E30),99))/100))+5.0))))*100))/100))*0.96)),(((((MIN((D30),99))/100))+5.0)/(1-(((MIN((D30),99))/100))+5.0))))*100))/100))*0.96)),(((((MIN(($C30),99))/100))+5.0)/(1-(((MIN(($C30),99))/100))+5.0))))*100))/100))*0.96)),(((((MIN((B$30),99))/100))+5.0)/(1-(((MIN((B$30),99))/100))+5.0))))*100))/100))*0.96)),(((((MIN(($J29),99))/100))+5.0)/(1-(((MIN(($J29),99))/100))+5.0))))*100))/100))*0.96)),(((((MIN(($J$28),99))/100))+5.0)/(1-(((MIN(($J$28),99))/100))+5.0))))*100))/100))*0.96)),(((((MIN(($J27),99))/100))+5.0)/(1-(((MIN(($J27),99))/100))+5.0))))*100))/100))*0.96)),(((((MIN(($J26),99))/100))+5.0)/(1-(((MIN(($J26),99))/100))+5.0))))*100))/100))*0.96)),(((((MIN(($J25),99))/100))+5.0)/(1-(((MIN(($J25),99))/100))+5.0))))*100))/100))*0.96)),(((((MIN((J$24),99))/100))+5.0)/(1-(((MIN((J$24),99))/100))+5.0))))*100))/100))*0.96)),(((((MIN(($J$23),99))/100))+5.0)/(1-(((MIN(($J$23),99))/100))+5.0))))*100))/100))*0.96)),(((((MIN(($J22),99))/100))+5.0)/(1-(((MIN(($J22),99))/100))+5.0))))*100))/100))*0.96)),(((((MIN(($J21),99))/100))+5.0)/(1-(((MIN(($J21),99))/100))+5.0))))*100))/100))*0.96)),(((((MIN(($J$20),99))/100))+5.0)/(1-(((MIN(($J$20),99))/100))+5.0))))*100))/100))*0.96)),(((((MIN((J$19),99))/100))+5.0)/(1-(((MIN((J$19),99))/100))+5.0))))*100))/100))*0.96)),(((((MIN(($J18),99))/100))+5.0)/(1-(((MIN(($J18),99))/100))+5.0))))*100))/100))*0.96)),(((((MIN((J$17),99))/100))+5.0)/(1-(((MIN((J$17),99))/100))+5.0))))*100))/100))*0.96)),(((((MIN(($J16),99))/100))+5.0)/(1-(((MIN(($J16),99))/100))+5.0))))*100))/100))*0.96)),(((((MIN(($J15),99))/100))+5.0)/(1-(((MIN(($J15),99))/100))+5.0))))*100))/100))*0.96)),(((((MIN(($J$14),99))/100))+5.0)/(1-(((MIN(($J$14),99))/100))+5.0))))*100),0)</f>
        <v/>
      </c>
      <c r="K3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(22)/100))*0.96)),(((((MIN(($J30),99))/100))+5.0)/(1-(((MIN(($J30),99))/100))+5.0))))*100))/100))*0.96)),(((((MIN(($I$30),99))/100))+5.0)/(1-(((MIN(($I$30),99))/100))+5.0))))*100))/100))*0.96)),(((((MIN(($H$30),99))/100))+5.0)/(1-(((MIN(($H$30),99))/100))+5.0))))*100))/100))*0.96)),(((((MIN(($G$30),99))/100))+5.0)/(1-(((MIN(($G$30),99))/100))+5.0))))*100))/100))*0.96)),(((((MIN((F$30),99))/100))+5.0)/(1-(((MIN((F$30),99))/100))+5.0))))*100))/100))*0.96)),(((((MIN(($E$30),99))/100))+5.0)/(1-(((MIN(($E$30),99))/100))+5.0))))*100))/100))*0.96)),(((((MIN((D$30),99))/100))+5.0)/(1-(((MIN((D$30),99))/100))+5.0))))*100))/100))*0.96)),(((((MIN(($C30),99))/100))+5.0)/(1-(((MIN(($C30),99))/100))+5.0))))*100))/100))*0.96)),(((((MIN(($K$29),99))/100))+5.0)/(1-(((MIN(($K$29),99))/100))+5.0))))*100))/100))*0.96)),(((((MIN(($K$28),99))/100))+5.0)/(1-(((MIN(($K$28),99))/100))+5.0))))*100))/100))*0.96)),(((((MIN(($K27),99))/100))+5.0)/(1-(((MIN(($K27),99))/100))+5.0))))*100))/100))*0.96)),(((((MIN((K26),99))/100))+5.0)/(1-(((MIN((K26),99))/100))+5.0))))*100))/100))*0.96)),(((((MIN((K25),99))/100))+5.0)/(1-(((MIN((K25),99))/100))+5.0))))*100))/100))*0.96)),(((((MIN(($K$24),99))/100))+5.0)/(1-(((MIN(($K$24),99))/100))+5.0))))*100))/100))*0.96)),(((((MIN(($K$23),99))/100))+5.0)/(1-(((MIN(($K$23),99))/100))+5.0))))*100))/100))*0.96)),(((((MIN((K$22),99))/100))+5.0)/(1-(((MIN((K$22),99))/100))+5.0))))*100))/100))*0.96)),(((((MIN((K21),99))/100))+5.0)/(1-(((MIN((K21),99))/100))+5.0))))*100))/100))*0.96)),(((((MIN((K$20),99))/100))+5.0)/(1-(((MIN((K$20),99))/100))+5.0))))*100))/100))*0.96)),(((((MIN(($K19),99))/100))+5.0)/(1-(((MIN(($K19),99))/100))+5.0))))*100))/100))*0.96)),(((((MIN((K$18),99))/100))+5.0)/(1-(((MIN((K$18),99))/100))+5.0))))*100))/100))*0.96)),(((((MIN((K$17),99))/100))+5.0)/(1-(((MIN((K$17),99))/100))+5.0))))*100))/100))*0.96)),(((((MIN(($K16),99))/100))+5.0)/(1-(((MIN(($K16),99))/100))+5.0))))*100))/100))*0.96)),(((((MIN((K15),99))/100))+5.0)/(1-(((MIN((K15),99))/100))+5.0))))*100))/100))*0.96)),(((((MIN(($K14),99))/100))+5.0)/(1-(((MIN(($K14),99))/100))+5.0))))*100),0)</f>
        <v/>
      </c>
      <c r="L3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(53)/100))*0.96)),(((((MIN(($K30),99))/100))+5.0)/(1-(((MIN(($K30),99))/100))+5.0))))*100))/100))*0.96)),(((((MIN(($J$30),99))/100))+5.0)/(1-(((MIN(($J$30),99))/100))+5.0))))*100))/100))*0.96)),(((((MIN((I$30),99))/100))+5.0)/(1-(((MIN((I$30),99))/100))+5.0))))*100))/100))*0.96)),(((((MIN(($H30),99))/100))+5.0)/(1-(((MIN(($H30),99))/100))+5.0))))*100))/100))*0.96)),(((((MIN(($G$30),99))/100))+5.0)/(1-(((MIN(($G$30),99))/100))+5.0))))*100))/100))*0.96)),(((((MIN(($F30),99))/100))+5.0)/(1-(((MIN(($F30),99))/100))+5.0))))*100))/100))*0.96)),(((((MIN((E$30),99))/100))+5.0)/(1-(((MIN((E$30),99))/100))+5.0))))*100))/100))*0.96)),(((((MIN(($D$30),99))/100))+5.0)/(1-(((MIN(($D$30),99))/100))+5.0))))*100))/100))*0.96)),(((((MIN(($L$29),99))/100))+5.0)/(1-(((MIN(($L$29),99))/100))+5.0))))*100))/100))*0.96)),(((((MIN((L$28),99))/100))+5.0)/(1-(((MIN((L$28),99))/100))+5.0))))*100))/100))*0.96)),(((((MIN((L27),99))/100))+5.0)/(1-(((MIN((L27),99))/100))+5.0))))*100))/100))*0.96)),(((((MIN(($L$26),99))/100))+5.0)/(1-(((MIN(($L$26),99))/100))+5.0))))*100))/100))*0.96)),(((((MIN((L25),99))/100))+5.0)/(1-(((MIN((L25),99))/100))+5.0))))*100))/100))*0.96)),(((((MIN(($L24),99))/100))+5.0)/(1-(((MIN(($L24),99))/100))+5.0))))*100))/100))*0.96)),(((((MIN((L$23),99))/100))+5.0)/(1-(((MIN((L$23),99))/100))+5.0))))*100))/100))*0.96)),(((((MIN((L22),99))/100))+5.0)/(1-(((MIN((L22),99))/100))+5.0))))*100))/100))*0.96)),(((((MIN((L$21),99))/100))+5.0)/(1-(((MIN((L$21),99))/100))+5.0))))*100))/100))*0.96)),(((((MIN((L$20),99))/100))+5.0)/(1-(((MIN((L$20),99))/100))+5.0))))*100))/100))*0.96)),(((((MIN(($L19),99))/100))+5.0)/(1-(((MIN(($L19),99))/100))+5.0))))*100))/100))*0.96)),(((((MIN((L18),99))/100))+5.0)/(1-(((MIN((L18),99))/100))+5.0))))*100))/100))*0.96)),(((((MIN(($L17),99))/100))+5.0)/(1-(((MIN(($L17),99))/100))+5.0))))*100))/100))*0.96)),(((((MIN(($L$16),99))/100))+5.0)/(1-(((MIN(($L$16),99))/100))+5.0))))*100))/100))*0.96)),(((((MIN(($L$15),99))/100))+5.0)/(1-(((MIN(($L$15),99))/100))+5.0))))*100))/100))*0.96)),(((((MIN((L$14),99))/100))+5.0)/(1-(((MIN((L$14),99))/100))+5.0))))*100),0)</f>
        <v/>
      </c>
      <c r="M3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(15)/100))*0.96)),(((((MIN(($L$30),99))/100))+5.0)/(1-(((MIN(($L$30),99))/100))+5.0))))*100))/100))*0.96)),(((((MIN((K30),99))/100))+5.0)/(1-(((MIN((K30),99))/100))+5.0))))*100))/100))*0.96)),(((((MIN((J$30),99))/100))+5.0)/(1-(((MIN((J$30),99))/100))+5.0))))*100))/100))*0.96)),(((((MIN(($I$30),99))/100))+5.0)/(1-(((MIN(($I$30),99))/100))+5.0))))*100))/100))*0.96)),(((((MIN(($H30),99))/100))+5.0)/(1-(((MIN(($H30),99))/100))+5.0))))*100))/100))*0.96)),(((((MIN((G$30),99))/100))+5.0)/(1-(((MIN((G$30),99))/100))+5.0))))*100))/100))*0.96)),(((((MIN(($F30),99))/100))+5.0)/(1-(((MIN(($F30),99))/100))+5.0))))*100))/100))*0.96)),(((((MIN(($E$30),99))/100))+5.0)/(1-(((MIN(($E$30),99))/100))+5.0))))*100))/100))*0.96)),(((((MIN((M29),99))/100))+5.0)/(1-(((MIN((M29),99))/100))+5.0))))*100))/100))*0.96)),(((((MIN((M28),99))/100))+5.0)/(1-(((MIN((M28),99))/100))+5.0))))*100))/100))*0.96)),(((((MIN((M$27),99))/100))+5.0)/(1-(((MIN((M$27),99))/100))+5.0))))*100))/100))*0.96)),(((((MIN((M26),99))/100))+5.0)/(1-(((MIN((M26),99))/100))+5.0))))*100))/100))*0.96)),(((((MIN(($M25),99))/100))+5.0)/(1-(((MIN(($M25),99))/100))+5.0))))*100))/100))*0.96)),(((((MIN((M24),99))/100))+5.0)/(1-(((MIN((M24),99))/100))+5.0))))*100))/100))*0.96)),(((((MIN(($M$23),99))/100))+5.0)/(1-(((MIN(($M$23),99))/100))+5.0))))*100))/100))*0.96)),(((((MIN((M$22),99))/100))+5.0)/(1-(((MIN((M$22),99))/100))+5.0))))*100))/100))*0.96)),(((((MIN((M21),99))/100))+5.0)/(1-(((MIN((M21),99))/100))+5.0))))*100))/100))*0.96)),(((((MIN((M20),99))/100))+5.0)/(1-(((MIN((M20),99))/100))+5.0))))*100))/100))*0.96)),(((((MIN(($M19),99))/100))+5.0)/(1-(((MIN(($M19),99))/100))+5.0))))*100))/100))*0.96)),(((((MIN(($M18),99))/100))+5.0)/(1-(((MIN(($M18),99))/100))+5.0))))*100))/100))*0.96)),(((((MIN(($M17),99))/100))+5.0)/(1-(((MIN(($M17),99))/100))+5.0))))*100))/100))*0.96)),(((((MIN(($M$16),99))/100))+5.0)/(1-(((MIN(($M$16),99))/100))+5.0))))*100))/100))*0.96)),(((((MIN((M$15),99))/100))+5.0)/(1-(((MIN((M$15),99))/100))+5.0))))*100))/100))*0.96)),(((((MIN((M$14),99))/100))+5.0)/(1-(((MIN((M$14),99))/100))+5.0))))*100),0)</f>
        <v/>
      </c>
      <c r="N3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(65)/100))*0.96)),(((((MIN(($M$30),99))/100))+5.0)/(1-(((MIN(($M$30),99))/100))+5.0))))*100))/100))*0.96)),(((((MIN((L30),99))/100))+5.0)/(1-(((MIN((L30),99))/100))+5.0))))*100))/100))*0.96)),(((((MIN(($K30),99))/100))+5.0)/(1-(((MIN(($K30),99))/100))+5.0))))*100))/100))*0.96)),(((((MIN(($J30),99))/100))+5.0)/(1-(((MIN(($J30),99))/100))+5.0))))*100))/100))*0.96)),(((((MIN((I$30),99))/100))+5.0)/(1-(((MIN((I$30),99))/100))+5.0))))*100))/100))*0.96)),(((((MIN((H$30),99))/100))+5.0)/(1-(((MIN((H$30),99))/100))+5.0))))*100))/100))*0.96)),(((((MIN((G30),99))/100))+5.0)/(1-(((MIN((G30),99))/100))+5.0))))*100))/100))*0.96)),(((((MIN(($F30),99))/100))+5.0)/(1-(((MIN(($F30),99))/100))+5.0))))*100))/100))*0.96)),(((((MIN(($N29),99))/100))+5.0)/(1-(((MIN(($N29),99))/100))+5.0))))*100))/100))*0.96)),(((((MIN((N$28),99))/100))+5.0)/(1-(((MIN((N$28),99))/100))+5.0))))*100))/100))*0.96)),(((((MIN((N$27),99))/100))+5.0)/(1-(((MIN((N$27),99))/100))+5.0))))*100))/100))*0.96)),(((((MIN((N26),99))/100))+5.0)/(1-(((MIN((N26),99))/100))+5.0))))*100))/100))*0.96)),(((((MIN((N$25),99))/100))+5.0)/(1-(((MIN((N$25),99))/100))+5.0))))*100))/100))*0.96)),(((((MIN((N$24),99))/100))+5.0)/(1-(((MIN((N$24),99))/100))+5.0))))*100))/100))*0.96)),(((((MIN((N$23),99))/100))+5.0)/(1-(((MIN((N$23),99))/100))+5.0))))*100))/100))*0.96)),(((((MIN((N22),99))/100))+5.0)/(1-(((MIN((N22),99))/100))+5.0))))*100))/100))*0.96)),(((((MIN(($N$21),99))/100))+5.0)/(1-(((MIN(($N$21),99))/100))+5.0))))*100))/100))*0.96)),(((((MIN((N20),99))/100))+5.0)/(1-(((MIN((N20),99))/100))+5.0))))*100))/100))*0.96)),(((((MIN((N$19),99))/100))+5.0)/(1-(((MIN((N$19),99))/100))+5.0))))*100))/100))*0.96)),(((((MIN(($N$18),99))/100))+5.0)/(1-(((MIN(($N$18),99))/100))+5.0))))*100))/100))*0.96)),(((((MIN(($N$17),99))/100))+5.0)/(1-(((MIN(($N$17),99))/100))+5.0))))*100))/100))*0.96)),(((((MIN(($N$16),99))/100))+5.0)/(1-(((MIN(($N$16),99))/100))+5.0))))*100))/100))*0.96)),(((((MIN((N$15),99))/100))+5.0)/(1-(((MIN((N$15),99))/100))+5.0))))*100))/100))*0.96)),(((((MIN(($N$14),99))/100))+5.0)/(1-(((MIN(($N$14),99))/100))+5.0))))*100),0)</f>
        <v/>
      </c>
      <c r="O3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(41)/100))*0.96)),(((((MIN((N$30),99))/100))+5.0)/(1-(((MIN((N$30),99))/100))+5.0))))*100))/100))*0.96)),(((((MIN((M30),99))/100))+5.0)/(1-(((MIN((M30),99))/100))+5.0))))*100))/100))*0.96)),(((((MIN(($L$30),99))/100))+5.0)/(1-(((MIN(($L$30),99))/100))+5.0))))*100))/100))*0.96)),(((((MIN(($K$30),99))/100))+5.0)/(1-(((MIN(($K$30),99))/100))+5.0))))*100))/100))*0.96)),(((((MIN((J30),99))/100))+5.0)/(1-(((MIN((J30),99))/100))+5.0))))*100))/100))*0.96)),(((((MIN(($I$30),99))/100))+5.0)/(1-(((MIN(($I$30),99))/100))+5.0))))*100))/100))*0.96)),(((((MIN(($H$30),99))/100))+5.0)/(1-(((MIN(($H$30),99))/100))+5.0))))*100))/100))*0.96)),(((((MIN((G30),99))/100))+5.0)/(1-(((MIN((G30),99))/100))+5.0))))*100))/100))*0.96)),(((((MIN(($O29),99))/100))+5.0)/(1-(((MIN(($O29),99))/100))+5.0))))*100))/100))*0.96)),(((((MIN(($O$28),99))/100))+5.0)/(1-(((MIN(($O$28),99))/100))+5.0))))*100))/100))*0.96)),(((((MIN((O27),99))/100))+5.0)/(1-(((MIN((O27),99))/100))+5.0))))*100))/100))*0.96)),(((((MIN(($O26),99))/100))+5.0)/(1-(((MIN(($O26),99))/100))+5.0))))*100))/100))*0.96)),(((((MIN(($O$25),99))/100))+5.0)/(1-(((MIN(($O$25),99))/100))+5.0))))*100))/100))*0.96)),(((((MIN((O24),99))/100))+5.0)/(1-(((MIN((O24),99))/100))+5.0))))*100))/100))*0.96)),(((((MIN(($O23),99))/100))+5.0)/(1-(((MIN(($O23),99))/100))+5.0))))*100))/100))*0.96)),(((((MIN((O$22),99))/100))+5.0)/(1-(((MIN((O$22),99))/100))+5.0))))*100))/100))*0.96)),(((((MIN(($O$21),99))/100))+5.0)/(1-(((MIN(($O$21),99))/100))+5.0))))*100))/100))*0.96)),(((((MIN(($O20),99))/100))+5.0)/(1-(((MIN(($O20),99))/100))+5.0))))*100))/100))*0.96)),(((((MIN((O19),99))/100))+5.0)/(1-(((MIN((O19),99))/100))+5.0))))*100))/100))*0.96)),(((((MIN(($O$18),99))/100))+5.0)/(1-(((MIN(($O$18),99))/100))+5.0))))*100))/100))*0.96)),(((((MIN((O$17),99))/100))+5.0)/(1-(((MIN((O$17),99))/100))+5.0))))*100))/100))*0.96)),(((((MIN((O$16),99))/100))+5.0)/(1-(((MIN((O$16),99))/100))+5.0))))*100))/100))*0.96)),(((((MIN((O15),99))/100))+5.0)/(1-(((MIN((O15),99))/100))+5.0))))*100))/100))*0.96)),(((((MIN(($O$14),99))/100))+5.0)/(1-(((MIN(($O$14),99))/100))+5.0))))*100),0)</f>
        <v/>
      </c>
      <c r="P3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(28)/100))*0.96)),(((((MIN((O30),99))/100))+5.0)/(1-(((MIN((O30),99))/100))+5.0))))*100))/100))*0.96)),(((((MIN(($N$30),99))/100))+5.0)/(1-(((MIN(($N$30),99))/100))+5.0))))*100))/100))*0.96)),(((((MIN(($M30),99))/100))+5.0)/(1-(((MIN(($M30),99))/100))+5.0))))*100))/100))*0.96)),(((((MIN(($L$30),99))/100))+5.0)/(1-(((MIN(($L$30),99))/100))+5.0))))*100))/100))*0.96)),(((((MIN((K30),99))/100))+5.0)/(1-(((MIN((K30),99))/100))+5.0))))*100))/100))*0.96)),(((((MIN(($J$30),99))/100))+5.0)/(1-(((MIN(($J$30),99))/100))+5.0))))*100))/100))*0.96)),(((((MIN((I$30),99))/100))+5.0)/(1-(((MIN((I$30),99))/100))+5.0))))*100))/100))*0.96)),(((((MIN(($H$30),99))/100))+5.0)/(1-(((MIN(($H$30),99))/100))+5.0))))*100))/100))*0.96)),(((((MIN((P$29),99))/100))+5.0)/(1-(((MIN((P$29),99))/100))+5.0))))*100))/100))*0.96)),(((((MIN((P28),99))/100))+5.0)/(1-(((MIN((P28),99))/100))+5.0))))*100))/100))*0.96)),(((((MIN(($P27),99))/100))+5.0)/(1-(((MIN(($P27),99))/100))+5.0))))*100))/100))*0.96)),(((((MIN((P$26),99))/100))+5.0)/(1-(((MIN((P$26),99))/100))+5.0))))*100))/100))*0.96)),(((((MIN((P$25),99))/100))+5.0)/(1-(((MIN((P$25),99))/100))+5.0))))*100))/100))*0.96)),(((((MIN(($P24),99))/100))+5.0)/(1-(((MIN(($P24),99))/100))+5.0))))*100))/100))*0.96)),(((((MIN((P$23),99))/100))+5.0)/(1-(((MIN((P$23),99))/100))+5.0))))*100))/100))*0.96)),(((((MIN(($P$22),99))/100))+5.0)/(1-(((MIN(($P$22),99))/100))+5.0))))*100))/100))*0.96)),(((((MIN((P$21),99))/100))+5.0)/(1-(((MIN((P$21),99))/100))+5.0))))*100))/100))*0.96)),(((((MIN((P$20),99))/100))+5.0)/(1-(((MIN((P$20),99))/100))+5.0))))*100))/100))*0.96)),(((((MIN(($P19),99))/100))+5.0)/(1-(((MIN(($P19),99))/100))+5.0))))*100))/100))*0.96)),(((((MIN((P18),99))/100))+5.0)/(1-(((MIN((P18),99))/100))+5.0))))*100))/100))*0.96)),(((((MIN((P17),99))/100))+5.0)/(1-(((MIN((P17),99))/100))+5.0))))*100))/100))*0.96)),(((((MIN(($P$16),99))/100))+5.0)/(1-(((MIN(($P$16),99))/100))+5.0))))*100))/100))*0.96)),(((((MIN(($P15),99))/100))+5.0)/(1-(((MIN(($P15),99))/100))+5.0))))*100))/100))*0.96)),(((((MIN(($P$14),99))/100))+5.0)/(1-(((MIN(($P$14),99))/100))+5.0))))*100),0)</f>
        <v/>
      </c>
      <c r="Q3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(46)/100))*0.96)),(((((MIN((P$30),99))/100))+5.0)/(1-(((MIN((P$30),99))/100))+5.0))))*100))/100))*0.96)),(((((MIN(($O$30),99))/100))+5.0)/(1-(((MIN(($O$30),99))/100))+5.0))))*100))/100))*0.96)),(((((MIN((N$30),99))/100))+5.0)/(1-(((MIN((N$30),99))/100))+5.0))))*100))/100))*0.96)),(((((MIN(($M30),99))/100))+5.0)/(1-(((MIN(($M30),99))/100))+5.0))))*100))/100))*0.96)),(((((MIN((L$30),99))/100))+5.0)/(1-(((MIN((L$30),99))/100))+5.0))))*100))/100))*0.96)),(((((MIN(($K$30),99))/100))+5.0)/(1-(((MIN(($K$30),99))/100))+5.0))))*100))/100))*0.96)),(((((MIN(($J30),99))/100))+5.0)/(1-(((MIN(($J30),99))/100))+5.0))))*100))/100))*0.96)),(((((MIN((I$30),99))/100))+5.0)/(1-(((MIN((I$30),99))/100))+5.0))))*100))/100))*0.96)),(((((MIN(($Q29),99))/100))+5.0)/(1-(((MIN(($Q29),99))/100))+5.0))))*100))/100))*0.96)),(((((MIN(($Q28),99))/100))+5.0)/(1-(((MIN(($Q28),99))/100))+5.0))))*100))/100))*0.96)),(((((MIN(($Q27),99))/100))+5.0)/(1-(((MIN(($Q27),99))/100))+5.0))))*100))/100))*0.96)),(((((MIN(($Q26),99))/100))+5.0)/(1-(((MIN(($Q26),99))/100))+5.0))))*100))/100))*0.96)),(((((MIN((Q$25),99))/100))+5.0)/(1-(((MIN((Q$25),99))/100))+5.0))))*100))/100))*0.96)),(((((MIN((Q$24),99))/100))+5.0)/(1-(((MIN((Q$24),99))/100))+5.0))))*100))/100))*0.96)),(((((MIN((Q23),99))/100))+5.0)/(1-(((MIN((Q23),99))/100))+5.0))))*100))/100))*0.96)),(((((MIN((Q22),99))/100))+5.0)/(1-(((MIN((Q22),99))/100))+5.0))))*100))/100))*0.96)),(((((MIN(($Q$21),99))/100))+5.0)/(1-(((MIN(($Q$21),99))/100))+5.0))))*100))/100))*0.96)),(((((MIN(($Q$20),99))/100))+5.0)/(1-(((MIN(($Q$20),99))/100))+5.0))))*100))/100))*0.96)),(((((MIN((Q$19),99))/100))+5.0)/(1-(((MIN((Q$19),99))/100))+5.0))))*100))/100))*0.96)),(((((MIN((Q18),99))/100))+5.0)/(1-(((MIN((Q18),99))/100))+5.0))))*100))/100))*0.96)),(((((MIN((Q17),99))/100))+5.0)/(1-(((MIN((Q17),99))/100))+5.0))))*100))/100))*0.96)),(((((MIN(($Q16),99))/100))+5.0)/(1-(((MIN(($Q16),99))/100))+5.0))))*100))/100))*0.96)),(((((MIN((Q15),99))/100))+5.0)/(1-(((MIN((Q15),99))/100))+5.0))))*100))/100))*0.96)),(((((MIN((Q$14),99))/100))+5.0)/(1-(((MIN((Q$14),99))/100))+5.0))))*100),0)</f>
        <v/>
      </c>
      <c r="R3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(45)/100))*0.96)),(((((MIN(($Q$30),99))/100))+5.0)/(1-(((MIN(($Q$30),99))/100))+5.0))))*100))/100))*0.96)),(((((MIN(($P$30),99))/100))+5.0)/(1-(((MIN(($P$30),99))/100))+5.0))))*100))/100))*0.96)),(((((MIN((O$30),99))/100))+5.0)/(1-(((MIN((O$30),99))/100))+5.0))))*100))/100))*0.96)),(((((MIN(($N30),99))/100))+5.0)/(1-(((MIN(($N30),99))/100))+5.0))))*100))/100))*0.96)),(((((MIN((M30),99))/100))+5.0)/(1-(((MIN((M30),99))/100))+5.0))))*100))/100))*0.96)),(((((MIN(($L$30),99))/100))+5.0)/(1-(((MIN(($L$30),99))/100))+5.0))))*100))/100))*0.96)),(((((MIN((K$30),99))/100))+5.0)/(1-(((MIN((K$30),99))/100))+5.0))))*100))/100))*0.96)),(((((MIN((J30),99))/100))+5.0)/(1-(((MIN((J30),99))/100))+5.0))))*100))/100))*0.96)),(((((MIN(($R$29),99))/100))+5.0)/(1-(((MIN(($R$29),99))/100))+5.0))))*100))/100))*0.96)),(((((MIN((R28),99))/100))+5.0)/(1-(((MIN((R28),99))/100))+5.0))))*100))/100))*0.96)),(((((MIN(($R$27),99))/100))+5.0)/(1-(((MIN(($R$27),99))/100))+5.0))))*100))/100))*0.96)),(((((MIN((R26),99))/100))+5.0)/(1-(((MIN((R26),99))/100))+5.0))))*100))/100))*0.96)),(((((MIN(($R25),99))/100))+5.0)/(1-(((MIN(($R25),99))/100))+5.0))))*100))/100))*0.96)),(((((MIN((R24),99))/100))+5.0)/(1-(((MIN((R24),99))/100))+5.0))))*100))/100))*0.96)),(((((MIN((R$23),99))/100))+5.0)/(1-(((MIN((R$23),99))/100))+5.0))))*100))/100))*0.96)),(((((MIN(($R$22),99))/100))+5.0)/(1-(((MIN(($R$22),99))/100))+5.0))))*100))/100))*0.96)),(((((MIN(($R$21),99))/100))+5.0)/(1-(((MIN(($R$21),99))/100))+5.0))))*100))/100))*0.96)),(((((MIN((R20),99))/100))+5.0)/(1-(((MIN((R20),99))/100))+5.0))))*100))/100))*0.96)),(((((MIN((R19),99))/100))+5.0)/(1-(((MIN((R19),99))/100))+5.0))))*100))/100))*0.96)),(((((MIN((R$18),99))/100))+5.0)/(1-(((MIN((R$18),99))/100))+5.0))))*100))/100))*0.96)),(((((MIN(($R17),99))/100))+5.0)/(1-(((MIN(($R17),99))/100))+5.0))))*100))/100))*0.96)),(((((MIN(($R$16),99))/100))+5.0)/(1-(((MIN(($R$16),99))/100))+5.0))))*100))/100))*0.96)),(((((MIN(($R15),99))/100))+5.0)/(1-(((MIN(($R15),99))/100))+5.0))))*100))/100))*0.96)),(((((MIN((R$14),99))/100))+5.0)/(1-(((MIN((R$14),99))/100))+5.0))))*100),0)</f>
        <v/>
      </c>
      <c r="S3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(51)/100))*0.96)),(((((MIN((R30),99))/100))+5.0)/(1-(((MIN((R30),99))/100))+5.0))))*100))/100))*0.96)),(((((MIN((Q30),99))/100))+5.0)/(1-(((MIN((Q30),99))/100))+5.0))))*100))/100))*0.96)),(((((MIN((P$30),99))/100))+5.0)/(1-(((MIN((P$30),99))/100))+5.0))))*100))/100))*0.96)),(((((MIN(($O30),99))/100))+5.0)/(1-(((MIN(($O30),99))/100))+5.0))))*100))/100))*0.96)),(((((MIN(($N$30),99))/100))+5.0)/(1-(((MIN(($N$30),99))/100))+5.0))))*100))/100))*0.96)),(((((MIN((M$30),99))/100))+5.0)/(1-(((MIN((M$30),99))/100))+5.0))))*100))/100))*0.96)),(((((MIN((L$30),99))/100))+5.0)/(1-(((MIN((L$30),99))/100))+5.0))))*100))/100))*0.96)),(((((MIN(($K30),99))/100))+5.0)/(1-(((MIN(($K30),99))/100))+5.0))))*100))/100))*0.96)),(((((MIN(($S29),99))/100))+5.0)/(1-(((MIN(($S29),99))/100))+5.0))))*100))/100))*0.96)),(((((MIN(($S$28),99))/100))+5.0)/(1-(((MIN(($S$28),99))/100))+5.0))))*100))/100))*0.96)),(((((MIN((S$27),99))/100))+5.0)/(1-(((MIN((S$27),99))/100))+5.0))))*100))/100))*0.96)),(((((MIN((S26),99))/100))+5.0)/(1-(((MIN((S26),99))/100))+5.0))))*100))/100))*0.96)),(((((MIN((S25),99))/100))+5.0)/(1-(((MIN((S25),99))/100))+5.0))))*100))/100))*0.96)),(((((MIN(($S24),99))/100))+5.0)/(1-(((MIN(($S24),99))/100))+5.0))))*100))/100))*0.96)),(((((MIN(($S$23),99))/100))+5.0)/(1-(((MIN(($S$23),99))/100))+5.0))))*100))/100))*0.96)),(((((MIN(($S$22),99))/100))+5.0)/(1-(((MIN(($S$22),99))/100))+5.0))))*100))/100))*0.96)),(((((MIN((S$21),99))/100))+5.0)/(1-(((MIN((S$21),99))/100))+5.0))))*100))/100))*0.96)),(((((MIN((S20),99))/100))+5.0)/(1-(((MIN((S20),99))/100))+5.0))))*100))/100))*0.96)),(((((MIN((S$19),99))/100))+5.0)/(1-(((MIN((S$19),99))/100))+5.0))))*100))/100))*0.96)),(((((MIN((S18),99))/100))+5.0)/(1-(((MIN((S18),99))/100))+5.0))))*100))/100))*0.96)),(((((MIN(($S$17),99))/100))+5.0)/(1-(((MIN(($S$17),99))/100))+5.0))))*100))/100))*0.96)),(((((MIN(($S$16),99))/100))+5.0)/(1-(((MIN(($S$16),99))/100))+5.0))))*100))/100))*0.96)),(((((MIN((S15),99))/100))+5.0)/(1-(((MIN((S15),99))/100))+5.0))))*100))/100))*0.96)),(((((MIN(($S14),99))/100))+5.0)/(1-(((MIN(($S14),99))/100))+5.0))))*100),0)</f>
        <v/>
      </c>
      <c r="T30">
        <f>ROUND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((1-POWER(1-((0.02+(((36)/100))*0.96)),(((((MIN(($S30),99))/100))+5.0)/(1-(((MIN(($S30),99))/100))+5.0))))*100))/100))*0.96)),(((((MIN((R$30),99))/100))+5.0)/(1-(((MIN((R$30),99))/100))+5.0))))*100))/100))*0.96)),(((((MIN((Q30),99))/100))+5.0)/(1-(((MIN((Q30),99))/100))+5.0))))*100))/100))*0.96)),(((((MIN(($P30),99))/100))+5.0)/(1-(((MIN(($P30),99))/100))+5.0))))*100))/100))*0.96)),(((((MIN(($O30),99))/100))+5.0)/(1-(((MIN(($O30),99))/100))+5.0))))*100))/100))*0.96)),(((((MIN((N30),99))/100))+5.0)/(1-(((MIN((N30),99))/100))+5.0))))*100))/100))*0.96)),(((((MIN((M30),99))/100))+5.0)/(1-(((MIN((M30),99))/100))+5.0))))*100))/100))*0.96)),(((((MIN(($L$30),99))/100))+5.0)/(1-(((MIN(($L$30),99))/100))+5.0))))*100))/100))*0.96)),(((((MIN(($T$29),99))/100))+5.0)/(1-(((MIN(($T$29),99))/100))+5.0))))*100))/100))*0.96)),(((((MIN((T28),99))/100))+5.0)/(1-(((MIN((T28),99))/100))+5.0))))*100))/100))*0.96)),(((((MIN(($T27),99))/100))+5.0)/(1-(((MIN(($T27),99))/100))+5.0))))*100))/100))*0.96)),(((((MIN((T$26),99))/100))+5.0)/(1-(((MIN((T$26),99))/100))+5.0))))*100))/100))*0.96)),(((((MIN(($T$25),99))/100))+5.0)/(1-(((MIN(($T$25),99))/100))+5.0))))*100))/100))*0.96)),(((((MIN(($T24),99))/100))+5.0)/(1-(((MIN(($T24),99))/100))+5.0))))*100))/100))*0.96)),(((((MIN((T23),99))/100))+5.0)/(1-(((MIN((T23),99))/100))+5.0))))*100))/100))*0.96)),(((((MIN((T$22),99))/100))+5.0)/(1-(((MIN((T$22),99))/100))+5.0))))*100))/100))*0.96)),(((((MIN((T$21),99))/100))+5.0)/(1-(((MIN((T$21),99))/100))+5.0))))*100))/100))*0.96)),(((((MIN(($T$20),99))/100))+5.0)/(1-(((MIN(($T$20),99))/100))+5.0))))*100))/100))*0.96)),(((((MIN(($T$19),99))/100))+5.0)/(1-(((MIN(($T$19),99))/100))+5.0))))*100))/100))*0.96)),(((((MIN(($T$18),99))/100))+5.0)/(1-(((MIN(($T$18),99))/100))+5.0))))*100))/100))*0.96)),(((((MIN(($T$17),99))/100))+5.0)/(1-(((MIN(($T$17),99))/100))+5.0))))*100))/100))*0.96)),(((((MIN(($T$16),99))/100))+5.0)/(1-(((MIN(($T$16),99))/100))+5.0))))*100))/100))*0.96)),(((((MIN(($T$15),99))/100))+5.0)/(1-(((MIN(($T$15),99))/100))+5.0))))*100))/100))*0.96)),(((((MIN(($T$14),99))/100))+5.0)/(1-(((MIN(($T$14),99))/100))+5.0))))*100)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2026-06-08T15:21:14Z</dcterms:created>
  <dcterms:modified xsi:type="dcterms:W3CDTF">2026-06-08T15:21:14Z</dcterms:modified>
</cp:coreProperties>
</file>