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b03ec0d16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446ca1c30e498b82a51e51589d81b3.psmdcp" Id="R827cee8470814e1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D2" i="2" a="1"/>
  <x:c r="D2" i="2"/>
  <x:c r="D3" i="2"/>
  <x:c r="D4" i="2"/>
  <x:c r="D5" i="2"/>
  <x:c r="F2" i="2"/>
  <x:c r="G2" i="2"/>
  <x:c r="H2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<x:sst xmlns:x="http://schemas.openxmlformats.org/spreadsheetml/2006/main">
  <x:si>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</x:si>
  <x:si>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</x:si>
  <x:si>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</x:si>
  <x:si>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</x:si>
  <x:si>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</x:si>
  <x:si>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</x:si>
  <x:si>
    <x:t>Unique pos cats</x:t>
  </x:si>
  <x:si>
    <x:t>Count</x:t>
  </x:si>
  <x:si>
    <x:t>Food matches</x:t>
  </x:si>
  <x:si>
    <x:t>Joined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</x:si>
</x:sst>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87c76e4ed37d4a8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/>
  </x:sheetViews>
  <x:sheetFormatPr defaultRowHeight="15"/>
  <x:cols>
    <x:col min="1" max="8" width="9.140625" style="0" customWidth="1"/>
  </x:cols>
  <x:sheetData>
    <x:row r="1" spans="1:8">
      <x:c r="D1" s="0" t="s">
        <x:v>6</x:v>
      </x:c>
      <x:c r="F1" s="0" t="s">
        <x:v>7</x:v>
      </x:c>
      <x:c r="G1" s="0" t="s">
        <x:v>8</x:v>
      </x:c>
      <x:c r="H1" s="0" t="s">
        <x:v>9</x:v>
      </x:c>
    </x:row>
    <x:row r="2" spans="1:8">
      <x:c r="D2" s="0" t="str" cm="1">
        <x:f t="array" ref="D2:D5">_xlfn.UNIQUE(_xlfn._xlws.FILTER(Raw!A2:A13, Raw!B2:B13&gt;0))</x:f>
        <x:v>Food</x:v>
      </x:c>
      <x:c r="F2" s="0">
        <x:f>COUNTA(_xlfn.ANCHORARRAY(Summary!D2))</x:f>
        <x:v>4</x:v>
      </x:c>
      <x:c r="G2" s="0">
        <x:f>COUNTIF(_xlfn.ANCHORARRAY(Summary!D2), "Food")</x:f>
        <x:v>1</x:v>
      </x:c>
      <x:c r="H2" s="0" t="str">
        <x:f>_xlfn.TEXTJOIN(", ", TRUE, _xlfn.ANCHORARRAY(Summary!D2))</x:f>
        <x:v>Food, Rent, Supplies, Travel</x:v>
      </x:c>
    </x:row>
    <x:row r="3" spans="1:8">
      <x:c r="D3" s="0" t="str">
        <x:v>Rent</x:v>
      </x:c>
    </x:row>
    <x:row r="4" spans="1:8">
      <x:c r="D4" s="0" t="str">
        <x:v>Supplies</x:v>
      </x:c>
    </x:row>
    <x:row r="5" spans="1:8">
      <x:c r="D5" s="0" t="str">
        <x:v>Travel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